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ilg\LosasPlus\tests\fixtures\"/>
    </mc:Choice>
  </mc:AlternateContent>
  <xr:revisionPtr revIDLastSave="0" documentId="8_{92AA92F0-F475-434F-87AD-2962C647853E}" xr6:coauthVersionLast="47" xr6:coauthVersionMax="47" xr10:uidLastSave="{00000000-0000-0000-0000-000000000000}"/>
  <bookViews>
    <workbookView xWindow="-120" yWindow="-120" windowWidth="19440" windowHeight="11520" tabRatio="777" firstSheet="7" activeTab="8" xr2:uid="{EF7D4B26-A906-4BDF-A54C-4B7C99F1D99D}"/>
  </bookViews>
  <sheets>
    <sheet name="Cargas" sheetId="1" r:id="rId1"/>
    <sheet name="Calculos Espesores" sheetId="65" r:id="rId2"/>
    <sheet name="Espesor Earlette" sheetId="2" r:id="rId3"/>
    <sheet name="Espesor E2" sheetId="21" r:id="rId4"/>
    <sheet name="Espesor E3" sheetId="56" r:id="rId5"/>
    <sheet name="Espesor E4" sheetId="57" r:id="rId6"/>
    <sheet name="Espesor E5" sheetId="62" r:id="rId7"/>
    <sheet name="Espesor Techo" sheetId="48" r:id="rId8"/>
    <sheet name="Espesor Equivalente" sheetId="49" r:id="rId9"/>
    <sheet name="Carga EARLLETTE" sheetId="3" r:id="rId10"/>
    <sheet name="Carga E2" sheetId="19" r:id="rId11"/>
    <sheet name="Carga E3" sheetId="58" r:id="rId12"/>
    <sheet name="Carga E4" sheetId="59" r:id="rId13"/>
    <sheet name="Carga E5" sheetId="63" r:id="rId14"/>
    <sheet name="Carga Techo " sheetId="7" r:id="rId15"/>
  </sheets>
  <externalReferences>
    <externalReference r:id="rId16"/>
  </externalReferences>
  <definedNames>
    <definedName name="_qde12" localSheetId="1">'Calculos Espesores'!#REF!</definedName>
    <definedName name="_qde12">Cargas!$G$15</definedName>
    <definedName name="_qde13" localSheetId="1">'Calculos Espesores'!#REF!</definedName>
    <definedName name="_qde13">Cargas!$G$16</definedName>
    <definedName name="_qde14" localSheetId="1">'Calculos Espesores'!#REF!</definedName>
    <definedName name="_qde14">Cargas!$G$17</definedName>
    <definedName name="_qde15" localSheetId="1">'Calculos Espesores'!#REF!</definedName>
    <definedName name="_qde15">Cargas!$G$18</definedName>
    <definedName name="_qde16" localSheetId="1">'Calculos Espesores'!#REF!</definedName>
    <definedName name="_qde16">Cargas!$G$19</definedName>
    <definedName name="_qde17" localSheetId="1">'Calculos Espesores'!#REF!</definedName>
    <definedName name="_qde17">Cargas!$G$20</definedName>
    <definedName name="_qde18" localSheetId="1">'Calculos Espesores'!#REF!</definedName>
    <definedName name="_qde18">Cargas!$G$21</definedName>
    <definedName name="_qde19" localSheetId="1">'Calculos Espesores'!#REF!</definedName>
    <definedName name="_qde19">Cargas!$G$22</definedName>
    <definedName name="_qde20" localSheetId="1">'Calculos Espesores'!#REF!</definedName>
    <definedName name="_qde20">Cargas!$G$23</definedName>
    <definedName name="_qdt10" localSheetId="1">'Calculos Espesores'!#REF!</definedName>
    <definedName name="_qdt10">Cargas!$G$53</definedName>
    <definedName name="_qdt11" localSheetId="1">'Calculos Espesores'!#REF!</definedName>
    <definedName name="_qdt11">Cargas!$G$54</definedName>
    <definedName name="_qdt12" localSheetId="1">'Calculos Espesores'!#REF!</definedName>
    <definedName name="_qdt12">Cargas!$G$55</definedName>
    <definedName name="_qdt13" localSheetId="1">'Calculos Espesores'!#REF!</definedName>
    <definedName name="_qdt13">Cargas!$G$56</definedName>
    <definedName name="_qdt14" localSheetId="1">'Calculos Espesores'!#REF!</definedName>
    <definedName name="_qdt14">Cargas!$G$57</definedName>
    <definedName name="_qdt15" localSheetId="1">'Calculos Espesores'!#REF!</definedName>
    <definedName name="_qdt15">Cargas!$G$58</definedName>
    <definedName name="_qdt16" localSheetId="1">'Calculos Espesores'!#REF!</definedName>
    <definedName name="_qdt16">Cargas!$G$59</definedName>
    <definedName name="_qdt17" localSheetId="1">'Calculos Espesores'!#REF!</definedName>
    <definedName name="_qdt17">Cargas!$G$60</definedName>
    <definedName name="_qdt18" localSheetId="1">'Calculos Espesores'!#REF!</definedName>
    <definedName name="_qdt18">Cargas!$G$61</definedName>
    <definedName name="_qdt19" localSheetId="1">'Calculos Espesores'!#REF!</definedName>
    <definedName name="_qdt19">Cargas!$G$62</definedName>
    <definedName name="_qdt20" localSheetId="1">'Calculos Espesores'!#REF!</definedName>
    <definedName name="_qdt20">Cargas!$G$63</definedName>
    <definedName name="_qdt6" localSheetId="1">'Calculos Espesores'!#REF!</definedName>
    <definedName name="_qdt6">Cargas!$G$49</definedName>
    <definedName name="_qdt7" localSheetId="1">'Calculos Espesores'!#REF!</definedName>
    <definedName name="_qdt7">Cargas!$G$50</definedName>
    <definedName name="_qdt8" localSheetId="1">'Calculos Espesores'!#REF!</definedName>
    <definedName name="_qdt8">Cargas!$G$51</definedName>
    <definedName name="_qdt9" localSheetId="1">'Calculos Espesores'!#REF!</definedName>
    <definedName name="_qdt9">Cargas!$G$52</definedName>
    <definedName name="f_c" localSheetId="8">'[1]Viga E1 V2'!$D$4</definedName>
    <definedName name="f_c">#REF!</definedName>
    <definedName name="fy" localSheetId="8">'[1]Viga E1 V2'!$G$4</definedName>
    <definedName name="fy">#REF!</definedName>
    <definedName name="qlb" localSheetId="1">'Calculos Espesores'!#REF!</definedName>
    <definedName name="qlb">Cargas!$F$32</definedName>
    <definedName name="qle" localSheetId="1">'Calculos Espesores'!#REF!</definedName>
    <definedName name="qle" localSheetId="8">[1]Cargas!$F$26</definedName>
    <definedName name="qle">Cargas!$F$31</definedName>
    <definedName name="qlt" localSheetId="1">'Calculos Espesores'!#REF!</definedName>
    <definedName name="qlt" localSheetId="8">[1]Cargas!$F$52</definedName>
    <definedName name="qlt">Cargas!$F$71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3" i="49" l="1"/>
  <c r="O10" i="3"/>
  <c r="B6" i="48"/>
  <c r="B6" i="62"/>
  <c r="B6" i="57"/>
  <c r="B6" i="56"/>
  <c r="B6" i="21"/>
  <c r="B6" i="2"/>
  <c r="S1" i="19" a="1"/>
  <c r="S1" i="19" s="1"/>
  <c r="S2" i="19" s="1"/>
  <c r="G4" i="19" s="1"/>
  <c r="S1" i="7" a="1"/>
  <c r="S1" i="7" s="1"/>
  <c r="S2" i="7" s="1"/>
  <c r="G4" i="7" s="1"/>
  <c r="S1" i="63" a="1"/>
  <c r="S1" i="63" s="1"/>
  <c r="S2" i="63" s="1"/>
  <c r="G4" i="63" s="1"/>
  <c r="S1" i="59" a="1"/>
  <c r="S1" i="59" s="1"/>
  <c r="S2" i="59" s="1"/>
  <c r="G4" i="59" s="1"/>
  <c r="S1" i="58" a="1"/>
  <c r="S1" i="58" s="1"/>
  <c r="S2" i="58" s="1"/>
  <c r="G4" i="58" s="1"/>
  <c r="S1" i="3" a="1"/>
  <c r="S1" i="3" s="1"/>
  <c r="S2" i="3" s="1"/>
  <c r="G4" i="3" s="1"/>
  <c r="AB1" i="48" a="1"/>
  <c r="AB1" i="48" s="1"/>
  <c r="AB2" i="48" s="1"/>
  <c r="AB1" i="62" a="1"/>
  <c r="AB1" i="62" s="1"/>
  <c r="AB2" i="62" s="1"/>
  <c r="F4" i="62" s="1"/>
  <c r="AB1" i="57" a="1"/>
  <c r="AB1" i="57" s="1"/>
  <c r="AB2" i="57" s="1"/>
  <c r="AB1" i="56" a="1"/>
  <c r="AB1" i="56" s="1"/>
  <c r="AB2" i="56" s="1"/>
  <c r="AB1" i="21" a="1"/>
  <c r="AB1" i="21" s="1"/>
  <c r="AB2" i="21" s="1"/>
  <c r="AB1" i="2" a="1"/>
  <c r="AB1" i="2" s="1"/>
  <c r="AB2" i="2" s="1"/>
  <c r="F9" i="1"/>
  <c r="G9" i="1" s="1"/>
  <c r="F10" i="1"/>
  <c r="F11" i="1"/>
  <c r="F12" i="1"/>
  <c r="G12" i="1" s="1"/>
  <c r="F13" i="1"/>
  <c r="F14" i="1"/>
  <c r="F15" i="1"/>
  <c r="F16" i="1"/>
  <c r="G16" i="1"/>
  <c r="F17" i="1"/>
  <c r="G17" i="1" s="1"/>
  <c r="F18" i="1"/>
  <c r="G18" i="1"/>
  <c r="F19" i="1"/>
  <c r="F20" i="1"/>
  <c r="F21" i="1"/>
  <c r="F22" i="1"/>
  <c r="F23" i="1"/>
  <c r="F26" i="1"/>
  <c r="F27" i="1"/>
  <c r="F28" i="1"/>
  <c r="E37" i="1"/>
  <c r="F38" i="1"/>
  <c r="G42" i="1"/>
  <c r="G43" i="1"/>
  <c r="F49" i="1"/>
  <c r="F50" i="1"/>
  <c r="F51" i="1"/>
  <c r="G51" i="1"/>
  <c r="F52" i="1"/>
  <c r="G52" i="1" s="1"/>
  <c r="F53" i="1"/>
  <c r="F54" i="1"/>
  <c r="G54" i="1"/>
  <c r="F55" i="1"/>
  <c r="G55" i="1"/>
  <c r="D76" i="1" s="1"/>
  <c r="F56" i="1"/>
  <c r="G56" i="1"/>
  <c r="F57" i="1"/>
  <c r="F58" i="1"/>
  <c r="G58" i="1"/>
  <c r="F59" i="1"/>
  <c r="G59" i="1"/>
  <c r="F60" i="1"/>
  <c r="F61" i="1"/>
  <c r="F62" i="1"/>
  <c r="G62" i="1" s="1"/>
  <c r="F63" i="1"/>
  <c r="F66" i="1"/>
  <c r="F67" i="1"/>
  <c r="F68" i="1"/>
  <c r="E76" i="1"/>
  <c r="F2" i="65"/>
  <c r="F3" i="65"/>
  <c r="G2" i="2"/>
  <c r="G3" i="2"/>
  <c r="D9" i="2"/>
  <c r="E9" i="2" s="1"/>
  <c r="G9" i="2"/>
  <c r="D10" i="2"/>
  <c r="F10" i="2" s="1"/>
  <c r="G10" i="2"/>
  <c r="D11" i="2"/>
  <c r="E11" i="2"/>
  <c r="G11" i="2"/>
  <c r="D12" i="2"/>
  <c r="G12" i="2"/>
  <c r="D13" i="2"/>
  <c r="G13" i="2"/>
  <c r="D14" i="2"/>
  <c r="E14" i="2" s="1"/>
  <c r="G14" i="2"/>
  <c r="D15" i="2"/>
  <c r="G15" i="2"/>
  <c r="D16" i="2"/>
  <c r="F16" i="2" s="1"/>
  <c r="G16" i="2"/>
  <c r="D17" i="2"/>
  <c r="E17" i="2" s="1"/>
  <c r="F17" i="2"/>
  <c r="G17" i="2"/>
  <c r="D18" i="2"/>
  <c r="F18" i="2" s="1"/>
  <c r="G18" i="2"/>
  <c r="D19" i="2"/>
  <c r="G19" i="2"/>
  <c r="D20" i="2"/>
  <c r="E20" i="2"/>
  <c r="G20" i="2"/>
  <c r="D21" i="2"/>
  <c r="E21" i="2"/>
  <c r="G21" i="2"/>
  <c r="D22" i="2"/>
  <c r="E22" i="2"/>
  <c r="G22" i="2"/>
  <c r="D23" i="2"/>
  <c r="G23" i="2"/>
  <c r="D24" i="2"/>
  <c r="G24" i="2"/>
  <c r="D25" i="2"/>
  <c r="G25" i="2"/>
  <c r="D26" i="2"/>
  <c r="E26" i="2" s="1"/>
  <c r="G26" i="2"/>
  <c r="D27" i="2"/>
  <c r="F27" i="2" s="1"/>
  <c r="E27" i="2"/>
  <c r="G27" i="2"/>
  <c r="D28" i="2"/>
  <c r="F28" i="2" s="1"/>
  <c r="E28" i="2"/>
  <c r="G28" i="2"/>
  <c r="D29" i="2"/>
  <c r="F29" i="2" s="1"/>
  <c r="G29" i="2"/>
  <c r="D30" i="2"/>
  <c r="G30" i="2"/>
  <c r="D31" i="2"/>
  <c r="F31" i="2" s="1"/>
  <c r="E31" i="2"/>
  <c r="G31" i="2"/>
  <c r="H31" i="2"/>
  <c r="J31" i="2" s="1"/>
  <c r="O31" i="2" s="1"/>
  <c r="D32" i="2"/>
  <c r="E32" i="2" s="1"/>
  <c r="F32" i="2"/>
  <c r="G32" i="2"/>
  <c r="H32" i="2"/>
  <c r="J32" i="2" s="1"/>
  <c r="O32" i="2" s="1"/>
  <c r="P32" i="2"/>
  <c r="T32" i="2"/>
  <c r="U32" i="2"/>
  <c r="D33" i="2"/>
  <c r="E33" i="2"/>
  <c r="F33" i="2"/>
  <c r="G33" i="2"/>
  <c r="D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G38" i="2"/>
  <c r="D39" i="2"/>
  <c r="E39" i="2"/>
  <c r="F39" i="2"/>
  <c r="G39" i="2"/>
  <c r="H39" i="2"/>
  <c r="J39" i="2" s="1"/>
  <c r="O39" i="2" s="1"/>
  <c r="P39" i="2" s="1"/>
  <c r="S39" i="2"/>
  <c r="T39" i="2"/>
  <c r="D40" i="2"/>
  <c r="G40" i="2"/>
  <c r="D41" i="2"/>
  <c r="E41" i="2"/>
  <c r="F41" i="2"/>
  <c r="G41" i="2"/>
  <c r="D42" i="2"/>
  <c r="F42" i="2" s="1"/>
  <c r="E42" i="2"/>
  <c r="G42" i="2"/>
  <c r="H42" i="2"/>
  <c r="J42" i="2" s="1"/>
  <c r="T42" i="2" s="1"/>
  <c r="O42" i="2"/>
  <c r="P42" i="2"/>
  <c r="D43" i="2"/>
  <c r="E43" i="2"/>
  <c r="F43" i="2"/>
  <c r="G43" i="2"/>
  <c r="D44" i="2"/>
  <c r="F44" i="2"/>
  <c r="G44" i="2"/>
  <c r="D45" i="2"/>
  <c r="E45" i="2"/>
  <c r="F45" i="2"/>
  <c r="G45" i="2"/>
  <c r="D46" i="2"/>
  <c r="G46" i="2"/>
  <c r="D47" i="2"/>
  <c r="F47" i="2" s="1"/>
  <c r="E47" i="2"/>
  <c r="G47" i="2"/>
  <c r="D48" i="2"/>
  <c r="E48" i="2" s="1"/>
  <c r="G48" i="2"/>
  <c r="D49" i="2"/>
  <c r="G49" i="2"/>
  <c r="D50" i="2"/>
  <c r="F50" i="2" s="1"/>
  <c r="G50" i="2"/>
  <c r="D51" i="2"/>
  <c r="E51" i="2"/>
  <c r="F51" i="2"/>
  <c r="G51" i="2"/>
  <c r="D52" i="2"/>
  <c r="F52" i="2"/>
  <c r="G52" i="2"/>
  <c r="D53" i="2"/>
  <c r="E53" i="2" s="1"/>
  <c r="F53" i="2"/>
  <c r="G53" i="2"/>
  <c r="H53" i="2"/>
  <c r="J53" i="2" s="1"/>
  <c r="N53" i="2"/>
  <c r="O53" i="2"/>
  <c r="P53" i="2" s="1"/>
  <c r="S53" i="2"/>
  <c r="T53" i="2"/>
  <c r="D54" i="2"/>
  <c r="F54" i="2"/>
  <c r="G54" i="2"/>
  <c r="D55" i="2"/>
  <c r="F55" i="2" s="1"/>
  <c r="E55" i="2"/>
  <c r="G55" i="2"/>
  <c r="H55" i="2"/>
  <c r="J55" i="2" s="1"/>
  <c r="D56" i="2"/>
  <c r="F56" i="2" s="1"/>
  <c r="G56" i="2"/>
  <c r="D57" i="2"/>
  <c r="G57" i="2"/>
  <c r="D58" i="2"/>
  <c r="E58" i="2"/>
  <c r="F58" i="2"/>
  <c r="H58" i="2" s="1"/>
  <c r="J58" i="2" s="1"/>
  <c r="G58" i="2"/>
  <c r="B2" i="21"/>
  <c r="B3" i="21"/>
  <c r="G3" i="21"/>
  <c r="C4" i="21"/>
  <c r="D9" i="21"/>
  <c r="F9" i="21" s="1"/>
  <c r="E9" i="21"/>
  <c r="G9" i="21"/>
  <c r="H9" i="21"/>
  <c r="J9" i="21"/>
  <c r="N9" i="21" s="1"/>
  <c r="D10" i="21"/>
  <c r="E10" i="21" s="1"/>
  <c r="F10" i="21"/>
  <c r="G10" i="21"/>
  <c r="H10" i="21"/>
  <c r="J10" i="21"/>
  <c r="O10" i="21"/>
  <c r="D11" i="21"/>
  <c r="G11" i="21"/>
  <c r="D12" i="21"/>
  <c r="E12" i="21"/>
  <c r="G12" i="21"/>
  <c r="D13" i="21"/>
  <c r="E13" i="21"/>
  <c r="G13" i="21"/>
  <c r="D14" i="21"/>
  <c r="E14" i="21"/>
  <c r="F14" i="21"/>
  <c r="G14" i="21"/>
  <c r="H14" i="21" s="1"/>
  <c r="J14" i="21" s="1"/>
  <c r="S14" i="21"/>
  <c r="T14" i="21"/>
  <c r="U14" i="21" s="1"/>
  <c r="V14" i="21"/>
  <c r="W14" i="21" s="1"/>
  <c r="D15" i="21"/>
  <c r="E15" i="21"/>
  <c r="F15" i="21"/>
  <c r="G15" i="21"/>
  <c r="H15" i="21" s="1"/>
  <c r="J15" i="21" s="1"/>
  <c r="D16" i="21"/>
  <c r="E16" i="21"/>
  <c r="F16" i="21"/>
  <c r="G16" i="21"/>
  <c r="D17" i="21"/>
  <c r="F17" i="21" s="1"/>
  <c r="G17" i="21"/>
  <c r="D18" i="21"/>
  <c r="E18" i="21"/>
  <c r="F18" i="21"/>
  <c r="G18" i="21"/>
  <c r="H18" i="21" s="1"/>
  <c r="J18" i="21" s="1"/>
  <c r="O18" i="21" s="1"/>
  <c r="D19" i="21"/>
  <c r="F19" i="21" s="1"/>
  <c r="G19" i="21"/>
  <c r="D20" i="21"/>
  <c r="G20" i="21"/>
  <c r="D21" i="21"/>
  <c r="F21" i="21" s="1"/>
  <c r="E21" i="21"/>
  <c r="G21" i="21"/>
  <c r="H21" i="21" s="1"/>
  <c r="J21" i="21" s="1"/>
  <c r="N21" i="21"/>
  <c r="O21" i="21"/>
  <c r="P21" i="21"/>
  <c r="S21" i="21"/>
  <c r="D22" i="21"/>
  <c r="E22" i="21"/>
  <c r="F22" i="21"/>
  <c r="G22" i="21"/>
  <c r="D23" i="21"/>
  <c r="G23" i="21"/>
  <c r="D24" i="21"/>
  <c r="E24" i="21" s="1"/>
  <c r="G24" i="21"/>
  <c r="D25" i="21"/>
  <c r="E25" i="21"/>
  <c r="F25" i="21"/>
  <c r="G25" i="21"/>
  <c r="D26" i="21"/>
  <c r="E26" i="21" s="1"/>
  <c r="F26" i="21"/>
  <c r="G26" i="21"/>
  <c r="H26" i="21"/>
  <c r="J26" i="21" s="1"/>
  <c r="D27" i="21"/>
  <c r="G27" i="21"/>
  <c r="D28" i="21"/>
  <c r="E28" i="21" s="1"/>
  <c r="G28" i="21"/>
  <c r="D29" i="21"/>
  <c r="F29" i="21" s="1"/>
  <c r="E29" i="21"/>
  <c r="G29" i="21"/>
  <c r="H29" i="21"/>
  <c r="J29" i="21" s="1"/>
  <c r="D30" i="21"/>
  <c r="E30" i="21"/>
  <c r="F30" i="21"/>
  <c r="G30" i="21"/>
  <c r="D31" i="21"/>
  <c r="E31" i="21"/>
  <c r="G31" i="21"/>
  <c r="D32" i="21"/>
  <c r="E32" i="21"/>
  <c r="F32" i="21"/>
  <c r="G32" i="21"/>
  <c r="H32" i="21"/>
  <c r="J32" i="21" s="1"/>
  <c r="T32" i="21" s="1"/>
  <c r="O32" i="21"/>
  <c r="D33" i="21"/>
  <c r="G33" i="21"/>
  <c r="D34" i="21"/>
  <c r="E34" i="21"/>
  <c r="F34" i="21"/>
  <c r="G34" i="21"/>
  <c r="D35" i="21"/>
  <c r="F35" i="21"/>
  <c r="G35" i="21"/>
  <c r="D36" i="21"/>
  <c r="G36" i="21"/>
  <c r="D37" i="21"/>
  <c r="F37" i="21" s="1"/>
  <c r="E37" i="21"/>
  <c r="G37" i="21"/>
  <c r="D38" i="21"/>
  <c r="E38" i="21"/>
  <c r="F38" i="21"/>
  <c r="G38" i="21"/>
  <c r="H38" i="21"/>
  <c r="J38" i="21"/>
  <c r="D39" i="21"/>
  <c r="E39" i="21"/>
  <c r="F39" i="21"/>
  <c r="G39" i="21"/>
  <c r="D40" i="21"/>
  <c r="E40" i="21"/>
  <c r="F40" i="21"/>
  <c r="G40" i="21"/>
  <c r="H40" i="21"/>
  <c r="J40" i="21" s="1"/>
  <c r="D41" i="21"/>
  <c r="E41" i="21"/>
  <c r="F41" i="21"/>
  <c r="G41" i="21"/>
  <c r="D42" i="21"/>
  <c r="F42" i="21"/>
  <c r="G42" i="21"/>
  <c r="D43" i="21"/>
  <c r="E43" i="21" s="1"/>
  <c r="F43" i="21"/>
  <c r="G43" i="21"/>
  <c r="H43" i="21"/>
  <c r="J43" i="21" s="1"/>
  <c r="T43" i="21" s="1"/>
  <c r="D44" i="21"/>
  <c r="E44" i="21"/>
  <c r="G44" i="21"/>
  <c r="D45" i="21"/>
  <c r="G45" i="21"/>
  <c r="D46" i="21"/>
  <c r="E46" i="21"/>
  <c r="F46" i="21"/>
  <c r="G46" i="21"/>
  <c r="H46" i="21"/>
  <c r="J46" i="21" s="1"/>
  <c r="D47" i="21"/>
  <c r="E47" i="21" s="1"/>
  <c r="F47" i="21"/>
  <c r="G47" i="21"/>
  <c r="D48" i="21"/>
  <c r="E48" i="21"/>
  <c r="F48" i="21"/>
  <c r="G48" i="21"/>
  <c r="D49" i="21"/>
  <c r="F49" i="21"/>
  <c r="G49" i="21"/>
  <c r="D50" i="21"/>
  <c r="E50" i="21"/>
  <c r="F50" i="21"/>
  <c r="G50" i="21"/>
  <c r="H50" i="21"/>
  <c r="J50" i="21" s="1"/>
  <c r="D51" i="21"/>
  <c r="G51" i="21"/>
  <c r="D52" i="21"/>
  <c r="G52" i="21"/>
  <c r="D53" i="21"/>
  <c r="F53" i="21" s="1"/>
  <c r="E53" i="21"/>
  <c r="G53" i="21"/>
  <c r="D54" i="21"/>
  <c r="E54" i="21"/>
  <c r="F54" i="21"/>
  <c r="G54" i="21"/>
  <c r="D55" i="21"/>
  <c r="G55" i="21"/>
  <c r="D56" i="21"/>
  <c r="E56" i="21"/>
  <c r="G56" i="21"/>
  <c r="D57" i="21"/>
  <c r="E57" i="21"/>
  <c r="F57" i="21"/>
  <c r="G57" i="21"/>
  <c r="H57" i="21"/>
  <c r="J57" i="21" s="1"/>
  <c r="D58" i="21"/>
  <c r="E58" i="21"/>
  <c r="F58" i="21"/>
  <c r="G58" i="21"/>
  <c r="B2" i="56"/>
  <c r="B3" i="56"/>
  <c r="G3" i="56"/>
  <c r="C4" i="56"/>
  <c r="D9" i="56"/>
  <c r="E9" i="56" s="1"/>
  <c r="F9" i="56"/>
  <c r="G9" i="56"/>
  <c r="H9" i="56"/>
  <c r="J9" i="56" s="1"/>
  <c r="D10" i="56"/>
  <c r="G10" i="56"/>
  <c r="D11" i="56"/>
  <c r="G11" i="56"/>
  <c r="D12" i="56"/>
  <c r="E12" i="56"/>
  <c r="F12" i="56"/>
  <c r="G12" i="56"/>
  <c r="H12" i="56"/>
  <c r="J12" i="56" s="1"/>
  <c r="O12" i="56"/>
  <c r="T12" i="56"/>
  <c r="D13" i="56"/>
  <c r="E13" i="56"/>
  <c r="F13" i="56"/>
  <c r="G13" i="56"/>
  <c r="D14" i="56"/>
  <c r="F14" i="56"/>
  <c r="G14" i="56"/>
  <c r="D15" i="56"/>
  <c r="E15" i="56"/>
  <c r="F15" i="56"/>
  <c r="H15" i="56" s="1"/>
  <c r="J15" i="56" s="1"/>
  <c r="G15" i="56"/>
  <c r="N15" i="56"/>
  <c r="O15" i="56"/>
  <c r="P15" i="56" s="1"/>
  <c r="Q15" i="56"/>
  <c r="R15" i="56" s="1"/>
  <c r="Z15" i="56" s="1"/>
  <c r="AA15" i="56" s="1"/>
  <c r="S15" i="56"/>
  <c r="T15" i="56"/>
  <c r="U15" i="56"/>
  <c r="V15" i="56"/>
  <c r="W15" i="56" s="1"/>
  <c r="D16" i="56"/>
  <c r="E16" i="56"/>
  <c r="F16" i="56"/>
  <c r="G16" i="56"/>
  <c r="H16" i="56"/>
  <c r="J16" i="56" s="1"/>
  <c r="O16" i="56"/>
  <c r="D17" i="56"/>
  <c r="G17" i="56"/>
  <c r="D18" i="56"/>
  <c r="E18" i="56" s="1"/>
  <c r="F18" i="56"/>
  <c r="G18" i="56"/>
  <c r="H18" i="56" s="1"/>
  <c r="J18" i="56" s="1"/>
  <c r="T18" i="56"/>
  <c r="D19" i="56"/>
  <c r="F19" i="56"/>
  <c r="G19" i="56"/>
  <c r="D20" i="56"/>
  <c r="G20" i="56"/>
  <c r="D21" i="56"/>
  <c r="F21" i="56" s="1"/>
  <c r="E21" i="56"/>
  <c r="G21" i="56"/>
  <c r="H21" i="56"/>
  <c r="J21" i="56" s="1"/>
  <c r="D22" i="56"/>
  <c r="F22" i="56" s="1"/>
  <c r="G22" i="56"/>
  <c r="H22" i="56"/>
  <c r="J22" i="56" s="1"/>
  <c r="D23" i="56"/>
  <c r="E23" i="56" s="1"/>
  <c r="G23" i="56"/>
  <c r="D24" i="56"/>
  <c r="F24" i="56" s="1"/>
  <c r="G24" i="56"/>
  <c r="D25" i="56"/>
  <c r="E25" i="56" s="1"/>
  <c r="F25" i="56"/>
  <c r="G25" i="56"/>
  <c r="H25" i="56"/>
  <c r="J25" i="56" s="1"/>
  <c r="N25" i="56"/>
  <c r="D26" i="56"/>
  <c r="F26" i="56" s="1"/>
  <c r="E26" i="56"/>
  <c r="G26" i="56"/>
  <c r="H26" i="56"/>
  <c r="J26" i="56" s="1"/>
  <c r="D27" i="56"/>
  <c r="G27" i="56"/>
  <c r="D28" i="56"/>
  <c r="F28" i="56" s="1"/>
  <c r="E28" i="56"/>
  <c r="G28" i="56"/>
  <c r="H28" i="56"/>
  <c r="J28" i="56"/>
  <c r="N28" i="56"/>
  <c r="T28" i="56"/>
  <c r="U28" i="56"/>
  <c r="D29" i="56"/>
  <c r="E29" i="56" s="1"/>
  <c r="G29" i="56"/>
  <c r="D30" i="56"/>
  <c r="E30" i="56"/>
  <c r="G30" i="56"/>
  <c r="D31" i="56"/>
  <c r="E31" i="56"/>
  <c r="F31" i="56"/>
  <c r="G31" i="56"/>
  <c r="D32" i="56"/>
  <c r="E32" i="56"/>
  <c r="F32" i="56"/>
  <c r="G32" i="56"/>
  <c r="D33" i="56"/>
  <c r="G33" i="56"/>
  <c r="D34" i="56"/>
  <c r="E34" i="56"/>
  <c r="F34" i="56"/>
  <c r="G34" i="56"/>
  <c r="H34" i="56"/>
  <c r="J34" i="56"/>
  <c r="N34" i="56"/>
  <c r="D35" i="56"/>
  <c r="E35" i="56"/>
  <c r="F35" i="56"/>
  <c r="G35" i="56"/>
  <c r="D36" i="56"/>
  <c r="E36" i="56" s="1"/>
  <c r="G36" i="56"/>
  <c r="D37" i="56"/>
  <c r="E37" i="56"/>
  <c r="F37" i="56"/>
  <c r="G37" i="56"/>
  <c r="H37" i="56" s="1"/>
  <c r="J37" i="56" s="1"/>
  <c r="O37" i="56" s="1"/>
  <c r="P37" i="56" s="1"/>
  <c r="T37" i="56"/>
  <c r="U37" i="56"/>
  <c r="V37" i="56" s="1"/>
  <c r="D38" i="56"/>
  <c r="E38" i="56"/>
  <c r="F38" i="56"/>
  <c r="G38" i="56"/>
  <c r="D39" i="56"/>
  <c r="F39" i="56" s="1"/>
  <c r="E39" i="56"/>
  <c r="G39" i="56"/>
  <c r="H39" i="56"/>
  <c r="J39" i="56" s="1"/>
  <c r="T39" i="56"/>
  <c r="U39" i="56" s="1"/>
  <c r="V39" i="56"/>
  <c r="D40" i="56"/>
  <c r="E40" i="56" s="1"/>
  <c r="F40" i="56"/>
  <c r="G40" i="56"/>
  <c r="D41" i="56"/>
  <c r="E41" i="56" s="1"/>
  <c r="F41" i="56"/>
  <c r="G41" i="56"/>
  <c r="H41" i="56" s="1"/>
  <c r="J41" i="56" s="1"/>
  <c r="D42" i="56"/>
  <c r="E42" i="56"/>
  <c r="F42" i="56"/>
  <c r="G42" i="56"/>
  <c r="H42" i="56"/>
  <c r="J42" i="56" s="1"/>
  <c r="D43" i="56"/>
  <c r="G43" i="56"/>
  <c r="D44" i="56"/>
  <c r="E44" i="56"/>
  <c r="F44" i="56"/>
  <c r="G44" i="56"/>
  <c r="D45" i="56"/>
  <c r="G45" i="56"/>
  <c r="D46" i="56"/>
  <c r="E46" i="56"/>
  <c r="F46" i="56"/>
  <c r="G46" i="56"/>
  <c r="D47" i="56"/>
  <c r="G47" i="56"/>
  <c r="D48" i="56"/>
  <c r="E48" i="56"/>
  <c r="F48" i="56"/>
  <c r="G48" i="56"/>
  <c r="H48" i="56"/>
  <c r="J48" i="56" s="1"/>
  <c r="D49" i="56"/>
  <c r="E49" i="56" s="1"/>
  <c r="F49" i="56"/>
  <c r="G49" i="56"/>
  <c r="D50" i="56"/>
  <c r="E50" i="56"/>
  <c r="F50" i="56"/>
  <c r="G50" i="56"/>
  <c r="H50" i="56"/>
  <c r="J50" i="56" s="1"/>
  <c r="D51" i="56"/>
  <c r="E51" i="56"/>
  <c r="F51" i="56"/>
  <c r="G51" i="56"/>
  <c r="H51" i="56" s="1"/>
  <c r="J51" i="56" s="1"/>
  <c r="S51" i="56"/>
  <c r="D52" i="56"/>
  <c r="G52" i="56"/>
  <c r="D53" i="56"/>
  <c r="E53" i="56"/>
  <c r="F53" i="56"/>
  <c r="G53" i="56"/>
  <c r="H53" i="56" s="1"/>
  <c r="J53" i="56" s="1"/>
  <c r="D54" i="56"/>
  <c r="G54" i="56"/>
  <c r="D55" i="56"/>
  <c r="F55" i="56" s="1"/>
  <c r="E55" i="56"/>
  <c r="G55" i="56"/>
  <c r="H55" i="56"/>
  <c r="J55" i="56" s="1"/>
  <c r="D56" i="56"/>
  <c r="E56" i="56" s="1"/>
  <c r="F56" i="56"/>
  <c r="G56" i="56"/>
  <c r="H56" i="56"/>
  <c r="J56" i="56"/>
  <c r="S56" i="56" s="1"/>
  <c r="N56" i="56"/>
  <c r="O56" i="56"/>
  <c r="P56" i="56" s="1"/>
  <c r="Q56" i="56"/>
  <c r="R56" i="56" s="1"/>
  <c r="T56" i="56"/>
  <c r="D57" i="56"/>
  <c r="E57" i="56" s="1"/>
  <c r="F57" i="56"/>
  <c r="G57" i="56"/>
  <c r="H57" i="56" s="1"/>
  <c r="J57" i="56"/>
  <c r="N57" i="56"/>
  <c r="T57" i="56"/>
  <c r="D58" i="56"/>
  <c r="F58" i="56" s="1"/>
  <c r="E58" i="56"/>
  <c r="G58" i="56"/>
  <c r="H58" i="56"/>
  <c r="J58" i="56" s="1"/>
  <c r="O58" i="56" s="1"/>
  <c r="S58" i="56"/>
  <c r="B2" i="57"/>
  <c r="B3" i="57"/>
  <c r="G3" i="57"/>
  <c r="C4" i="57"/>
  <c r="D9" i="57"/>
  <c r="F9" i="57" s="1"/>
  <c r="E9" i="57"/>
  <c r="G9" i="57"/>
  <c r="H9" i="57" s="1"/>
  <c r="J9" i="57"/>
  <c r="D10" i="57"/>
  <c r="E10" i="57"/>
  <c r="F10" i="57"/>
  <c r="G10" i="57"/>
  <c r="D11" i="57"/>
  <c r="G11" i="57"/>
  <c r="D12" i="57"/>
  <c r="F12" i="57" s="1"/>
  <c r="E12" i="57"/>
  <c r="G12" i="57"/>
  <c r="H12" i="57"/>
  <c r="J12" i="57"/>
  <c r="N12" i="57" s="1"/>
  <c r="O12" i="57"/>
  <c r="T12" i="57"/>
  <c r="D13" i="57"/>
  <c r="E13" i="57"/>
  <c r="F13" i="57"/>
  <c r="G13" i="57"/>
  <c r="H13" i="57"/>
  <c r="J13" i="57" s="1"/>
  <c r="S13" i="57" s="1"/>
  <c r="D14" i="57"/>
  <c r="G14" i="57"/>
  <c r="D15" i="57"/>
  <c r="G15" i="57"/>
  <c r="D16" i="57"/>
  <c r="E16" i="57"/>
  <c r="G16" i="57"/>
  <c r="D17" i="57"/>
  <c r="F17" i="57" s="1"/>
  <c r="E17" i="57"/>
  <c r="G17" i="57"/>
  <c r="H17" i="57" s="1"/>
  <c r="J17" i="57" s="1"/>
  <c r="D18" i="57"/>
  <c r="E18" i="57" s="1"/>
  <c r="G18" i="57"/>
  <c r="D19" i="57"/>
  <c r="F19" i="57"/>
  <c r="G19" i="57"/>
  <c r="D20" i="57"/>
  <c r="F20" i="57" s="1"/>
  <c r="E20" i="57"/>
  <c r="G20" i="57"/>
  <c r="D21" i="57"/>
  <c r="E21" i="57"/>
  <c r="F21" i="57"/>
  <c r="G21" i="57"/>
  <c r="H21" i="57"/>
  <c r="J21" i="57"/>
  <c r="N21" i="57" s="1"/>
  <c r="S21" i="57"/>
  <c r="T21" i="57"/>
  <c r="U21" i="57"/>
  <c r="D22" i="57"/>
  <c r="E22" i="57"/>
  <c r="F22" i="57"/>
  <c r="G22" i="57"/>
  <c r="H22" i="57"/>
  <c r="J22" i="57" s="1"/>
  <c r="N22" i="57"/>
  <c r="O22" i="57"/>
  <c r="P22" i="57"/>
  <c r="D23" i="57"/>
  <c r="F23" i="57" s="1"/>
  <c r="E23" i="57"/>
  <c r="G23" i="57"/>
  <c r="H23" i="57" s="1"/>
  <c r="J23" i="57" s="1"/>
  <c r="D24" i="57"/>
  <c r="E24" i="57"/>
  <c r="F24" i="57"/>
  <c r="G24" i="57"/>
  <c r="H24" i="57"/>
  <c r="J24" i="57" s="1"/>
  <c r="S24" i="57"/>
  <c r="T24" i="57"/>
  <c r="D25" i="57"/>
  <c r="F25" i="57" s="1"/>
  <c r="E25" i="57"/>
  <c r="G25" i="57"/>
  <c r="H25" i="57" s="1"/>
  <c r="J25" i="57" s="1"/>
  <c r="S25" i="57"/>
  <c r="D26" i="57"/>
  <c r="G26" i="57"/>
  <c r="D27" i="57"/>
  <c r="F27" i="57" s="1"/>
  <c r="G27" i="57"/>
  <c r="D28" i="57"/>
  <c r="F28" i="57" s="1"/>
  <c r="E28" i="57"/>
  <c r="G28" i="57"/>
  <c r="H28" i="57" s="1"/>
  <c r="J28" i="57" s="1"/>
  <c r="D29" i="57"/>
  <c r="E29" i="57"/>
  <c r="F29" i="57"/>
  <c r="G29" i="57"/>
  <c r="D30" i="57"/>
  <c r="E30" i="57"/>
  <c r="G30" i="57"/>
  <c r="D31" i="57"/>
  <c r="E31" i="57"/>
  <c r="F31" i="57"/>
  <c r="G31" i="57"/>
  <c r="H31" i="57"/>
  <c r="J31" i="57" s="1"/>
  <c r="N31" i="57" s="1"/>
  <c r="D32" i="57"/>
  <c r="G32" i="57"/>
  <c r="D33" i="57"/>
  <c r="E33" i="57"/>
  <c r="F33" i="57"/>
  <c r="G33" i="57"/>
  <c r="D34" i="57"/>
  <c r="E34" i="57"/>
  <c r="F34" i="57"/>
  <c r="G34" i="57"/>
  <c r="D35" i="57"/>
  <c r="E35" i="57"/>
  <c r="F35" i="57"/>
  <c r="G35" i="57"/>
  <c r="H35" i="57"/>
  <c r="J35" i="57"/>
  <c r="D36" i="57"/>
  <c r="G36" i="57"/>
  <c r="D37" i="57"/>
  <c r="F37" i="57" s="1"/>
  <c r="G37" i="57"/>
  <c r="D38" i="57"/>
  <c r="E38" i="57" s="1"/>
  <c r="F38" i="57"/>
  <c r="G38" i="57"/>
  <c r="H38" i="57"/>
  <c r="J38" i="57" s="1"/>
  <c r="D39" i="57"/>
  <c r="E39" i="57"/>
  <c r="F39" i="57"/>
  <c r="G39" i="57"/>
  <c r="H39" i="57"/>
  <c r="J39" i="57" s="1"/>
  <c r="D40" i="57"/>
  <c r="E40" i="57"/>
  <c r="F40" i="57"/>
  <c r="G40" i="57"/>
  <c r="D41" i="57"/>
  <c r="F41" i="57"/>
  <c r="G41" i="57"/>
  <c r="D42" i="57"/>
  <c r="E42" i="57"/>
  <c r="F42" i="57"/>
  <c r="G42" i="57"/>
  <c r="H42" i="57"/>
  <c r="J42" i="57"/>
  <c r="N42" i="57"/>
  <c r="D43" i="57"/>
  <c r="E43" i="57"/>
  <c r="G43" i="57"/>
  <c r="D44" i="57"/>
  <c r="E44" i="57"/>
  <c r="G44" i="57"/>
  <c r="D45" i="57"/>
  <c r="E45" i="57"/>
  <c r="F45" i="57"/>
  <c r="G45" i="57"/>
  <c r="H45" i="57"/>
  <c r="J45" i="57" s="1"/>
  <c r="S45" i="57"/>
  <c r="T45" i="57"/>
  <c r="U45" i="57"/>
  <c r="V45" i="57"/>
  <c r="W45" i="57"/>
  <c r="D46" i="57"/>
  <c r="E46" i="57"/>
  <c r="F46" i="57"/>
  <c r="G46" i="57"/>
  <c r="H46" i="57"/>
  <c r="J46" i="57"/>
  <c r="D47" i="57"/>
  <c r="E47" i="57" s="1"/>
  <c r="F47" i="57"/>
  <c r="G47" i="57"/>
  <c r="D48" i="57"/>
  <c r="E48" i="57"/>
  <c r="F48" i="57"/>
  <c r="G48" i="57"/>
  <c r="H48" i="57"/>
  <c r="J48" i="57"/>
  <c r="O48" i="57"/>
  <c r="D49" i="57"/>
  <c r="G49" i="57"/>
  <c r="D50" i="57"/>
  <c r="E50" i="57"/>
  <c r="F50" i="57"/>
  <c r="G50" i="57"/>
  <c r="D51" i="57"/>
  <c r="E51" i="57" s="1"/>
  <c r="F51" i="57"/>
  <c r="G51" i="57"/>
  <c r="H51" i="57"/>
  <c r="J51" i="57"/>
  <c r="N51" i="57"/>
  <c r="D52" i="57"/>
  <c r="F52" i="57" s="1"/>
  <c r="E52" i="57"/>
  <c r="G52" i="57"/>
  <c r="H52" i="57"/>
  <c r="J52" i="57" s="1"/>
  <c r="T52" i="57"/>
  <c r="U52" i="57" s="1"/>
  <c r="D53" i="57"/>
  <c r="F53" i="57"/>
  <c r="G53" i="57"/>
  <c r="D54" i="57"/>
  <c r="E54" i="57"/>
  <c r="F54" i="57"/>
  <c r="G54" i="57"/>
  <c r="D55" i="57"/>
  <c r="E55" i="57"/>
  <c r="F55" i="57"/>
  <c r="H55" i="57" s="1"/>
  <c r="G55" i="57"/>
  <c r="J55" i="57"/>
  <c r="N55" i="57"/>
  <c r="O55" i="57"/>
  <c r="P55" i="57" s="1"/>
  <c r="Q55" i="57"/>
  <c r="R55" i="57" s="1"/>
  <c r="D56" i="57"/>
  <c r="E56" i="57" s="1"/>
  <c r="G56" i="57"/>
  <c r="D57" i="57"/>
  <c r="G57" i="57"/>
  <c r="D58" i="57"/>
  <c r="F58" i="57" s="1"/>
  <c r="G58" i="57"/>
  <c r="B2" i="62"/>
  <c r="B3" i="62"/>
  <c r="G3" i="62"/>
  <c r="C4" i="62"/>
  <c r="D9" i="62"/>
  <c r="E9" i="62"/>
  <c r="F9" i="62"/>
  <c r="G9" i="62"/>
  <c r="D10" i="62"/>
  <c r="E10" i="62" s="1"/>
  <c r="F10" i="62"/>
  <c r="G10" i="62"/>
  <c r="H10" i="62"/>
  <c r="J10" i="62" s="1"/>
  <c r="D11" i="62"/>
  <c r="E11" i="62"/>
  <c r="F11" i="62"/>
  <c r="G11" i="62"/>
  <c r="H11" i="62"/>
  <c r="J11" i="62"/>
  <c r="D12" i="62"/>
  <c r="E12" i="62" s="1"/>
  <c r="G12" i="62"/>
  <c r="D13" i="62"/>
  <c r="G13" i="62"/>
  <c r="D14" i="62"/>
  <c r="E14" i="62"/>
  <c r="F14" i="62"/>
  <c r="G14" i="62"/>
  <c r="H14" i="62"/>
  <c r="J14" i="62" s="1"/>
  <c r="N14" i="62"/>
  <c r="D15" i="62"/>
  <c r="E15" i="62" s="1"/>
  <c r="G15" i="62"/>
  <c r="D16" i="62"/>
  <c r="E16" i="62" s="1"/>
  <c r="G16" i="62"/>
  <c r="D17" i="62"/>
  <c r="F17" i="62" s="1"/>
  <c r="E17" i="62"/>
  <c r="G17" i="62"/>
  <c r="H17" i="62"/>
  <c r="J17" i="62" s="1"/>
  <c r="D18" i="62"/>
  <c r="G18" i="62"/>
  <c r="D19" i="62"/>
  <c r="E19" i="62"/>
  <c r="F19" i="62"/>
  <c r="G19" i="62"/>
  <c r="H19" i="62"/>
  <c r="J19" i="62" s="1"/>
  <c r="N19" i="62"/>
  <c r="O19" i="62"/>
  <c r="P19" i="62" s="1"/>
  <c r="Q19" i="62"/>
  <c r="R19" i="62"/>
  <c r="T19" i="62"/>
  <c r="U19" i="62"/>
  <c r="D20" i="62"/>
  <c r="E20" i="62"/>
  <c r="F20" i="62"/>
  <c r="G20" i="62"/>
  <c r="D21" i="62"/>
  <c r="E21" i="62"/>
  <c r="F21" i="62"/>
  <c r="G21" i="62"/>
  <c r="H21" i="62" s="1"/>
  <c r="J21" i="62" s="1"/>
  <c r="D22" i="62"/>
  <c r="E22" i="62"/>
  <c r="F22" i="62"/>
  <c r="G22" i="62"/>
  <c r="D23" i="62"/>
  <c r="E23" i="62"/>
  <c r="F23" i="62"/>
  <c r="H23" i="62" s="1"/>
  <c r="J23" i="62" s="1"/>
  <c r="G23" i="62"/>
  <c r="S23" i="62"/>
  <c r="T23" i="62"/>
  <c r="U23" i="62"/>
  <c r="V23" i="62"/>
  <c r="W23" i="62" s="1"/>
  <c r="D24" i="62"/>
  <c r="E24" i="62"/>
  <c r="G24" i="62"/>
  <c r="D25" i="62"/>
  <c r="G25" i="62"/>
  <c r="D26" i="62"/>
  <c r="G26" i="62"/>
  <c r="D27" i="62"/>
  <c r="E27" i="62"/>
  <c r="F27" i="62"/>
  <c r="G27" i="62"/>
  <c r="H27" i="62" s="1"/>
  <c r="J27" i="62" s="1"/>
  <c r="D28" i="62"/>
  <c r="E28" i="62" s="1"/>
  <c r="F28" i="62"/>
  <c r="G28" i="62"/>
  <c r="D29" i="62"/>
  <c r="E29" i="62" s="1"/>
  <c r="F29" i="62"/>
  <c r="G29" i="62"/>
  <c r="H29" i="62"/>
  <c r="J29" i="62"/>
  <c r="T29" i="62" s="1"/>
  <c r="U29" i="62" s="1"/>
  <c r="N29" i="62"/>
  <c r="O29" i="62"/>
  <c r="V29" i="62"/>
  <c r="D30" i="62"/>
  <c r="E30" i="62" s="1"/>
  <c r="G30" i="62"/>
  <c r="D31" i="62"/>
  <c r="G31" i="62"/>
  <c r="D32" i="62"/>
  <c r="E32" i="62" s="1"/>
  <c r="F32" i="62"/>
  <c r="H32" i="62" s="1"/>
  <c r="J32" i="62" s="1"/>
  <c r="G32" i="62"/>
  <c r="D33" i="62"/>
  <c r="E33" i="62"/>
  <c r="F33" i="62"/>
  <c r="G33" i="62"/>
  <c r="H33" i="62"/>
  <c r="J33" i="62"/>
  <c r="D34" i="62"/>
  <c r="G34" i="62"/>
  <c r="D35" i="62"/>
  <c r="E35" i="62"/>
  <c r="F35" i="62"/>
  <c r="G35" i="62"/>
  <c r="H35" i="62"/>
  <c r="J35" i="62"/>
  <c r="D36" i="62"/>
  <c r="E36" i="62"/>
  <c r="F36" i="62"/>
  <c r="G36" i="62"/>
  <c r="D37" i="62"/>
  <c r="E37" i="62"/>
  <c r="F37" i="62"/>
  <c r="G37" i="62"/>
  <c r="D38" i="62"/>
  <c r="E38" i="62"/>
  <c r="F38" i="62"/>
  <c r="G38" i="62"/>
  <c r="D39" i="62"/>
  <c r="G39" i="62"/>
  <c r="D40" i="62"/>
  <c r="E40" i="62" s="1"/>
  <c r="G40" i="62"/>
  <c r="D41" i="62"/>
  <c r="F41" i="62" s="1"/>
  <c r="N41" i="62" s="1"/>
  <c r="E41" i="62"/>
  <c r="G41" i="62"/>
  <c r="H41" i="62"/>
  <c r="J41" i="62" s="1"/>
  <c r="O41" i="62"/>
  <c r="P41" i="62"/>
  <c r="S41" i="62"/>
  <c r="D42" i="62"/>
  <c r="E42" i="62"/>
  <c r="F42" i="62"/>
  <c r="G42" i="62"/>
  <c r="H42" i="62"/>
  <c r="J42" i="62"/>
  <c r="D42" i="63" s="1"/>
  <c r="G42" i="63" s="1"/>
  <c r="H42" i="63" s="1"/>
  <c r="O42" i="62"/>
  <c r="S42" i="62"/>
  <c r="T42" i="62"/>
  <c r="D43" i="62"/>
  <c r="E43" i="62"/>
  <c r="F43" i="62"/>
  <c r="G43" i="62"/>
  <c r="D44" i="62"/>
  <c r="E44" i="62"/>
  <c r="F44" i="62"/>
  <c r="H44" i="62" s="1"/>
  <c r="J44" i="62" s="1"/>
  <c r="G44" i="62"/>
  <c r="D45" i="62"/>
  <c r="E45" i="62"/>
  <c r="F45" i="62"/>
  <c r="G45" i="62"/>
  <c r="D46" i="62"/>
  <c r="G46" i="62"/>
  <c r="D47" i="62"/>
  <c r="E47" i="62"/>
  <c r="F47" i="62"/>
  <c r="G47" i="62"/>
  <c r="D48" i="62"/>
  <c r="E48" i="62"/>
  <c r="F48" i="62"/>
  <c r="G48" i="62"/>
  <c r="H48" i="62"/>
  <c r="J48" i="62" s="1"/>
  <c r="O48" i="62"/>
  <c r="P48" i="62"/>
  <c r="D49" i="62"/>
  <c r="E49" i="62"/>
  <c r="F49" i="62"/>
  <c r="H49" i="62" s="1"/>
  <c r="J49" i="62" s="1"/>
  <c r="G49" i="62"/>
  <c r="D50" i="62"/>
  <c r="F50" i="62"/>
  <c r="G50" i="62"/>
  <c r="D51" i="62"/>
  <c r="F51" i="62"/>
  <c r="G51" i="62"/>
  <c r="D52" i="62"/>
  <c r="E52" i="62"/>
  <c r="G52" i="62"/>
  <c r="D53" i="62"/>
  <c r="E53" i="62" s="1"/>
  <c r="G53" i="62"/>
  <c r="D54" i="62"/>
  <c r="E54" i="62"/>
  <c r="F54" i="62"/>
  <c r="G54" i="62"/>
  <c r="D55" i="62"/>
  <c r="E55" i="62" s="1"/>
  <c r="G55" i="62"/>
  <c r="D56" i="62"/>
  <c r="E56" i="62" s="1"/>
  <c r="F56" i="62"/>
  <c r="G56" i="62"/>
  <c r="H56" i="62"/>
  <c r="J56" i="62" s="1"/>
  <c r="S56" i="62"/>
  <c r="D57" i="62"/>
  <c r="G57" i="62"/>
  <c r="D58" i="62"/>
  <c r="E58" i="62"/>
  <c r="F58" i="62"/>
  <c r="G58" i="62"/>
  <c r="H58" i="62"/>
  <c r="J58" i="62" s="1"/>
  <c r="B2" i="48"/>
  <c r="G2" i="48"/>
  <c r="H2" i="7" s="1"/>
  <c r="C3" i="48"/>
  <c r="G3" i="48"/>
  <c r="C4" i="48"/>
  <c r="D9" i="48"/>
  <c r="E9" i="48" s="1"/>
  <c r="G9" i="48"/>
  <c r="D10" i="48"/>
  <c r="E10" i="48" s="1"/>
  <c r="G10" i="48"/>
  <c r="D11" i="48"/>
  <c r="E11" i="48"/>
  <c r="G11" i="48"/>
  <c r="D12" i="48"/>
  <c r="E12" i="48"/>
  <c r="F12" i="48"/>
  <c r="G12" i="48"/>
  <c r="D13" i="48"/>
  <c r="G13" i="48"/>
  <c r="D14" i="48"/>
  <c r="G14" i="48"/>
  <c r="D15" i="48"/>
  <c r="G15" i="48"/>
  <c r="D16" i="48"/>
  <c r="E16" i="48"/>
  <c r="F16" i="48"/>
  <c r="G16" i="48"/>
  <c r="H16" i="48" s="1"/>
  <c r="J16" i="48" s="1"/>
  <c r="D17" i="48"/>
  <c r="F17" i="48"/>
  <c r="G17" i="48"/>
  <c r="D18" i="48"/>
  <c r="E18" i="48"/>
  <c r="F18" i="48"/>
  <c r="G18" i="48"/>
  <c r="D19" i="48"/>
  <c r="E19" i="48"/>
  <c r="F19" i="48"/>
  <c r="G19" i="48"/>
  <c r="H19" i="48"/>
  <c r="J19" i="48"/>
  <c r="D20" i="48"/>
  <c r="E20" i="48" s="1"/>
  <c r="F20" i="48"/>
  <c r="G20" i="48"/>
  <c r="H20" i="48" s="1"/>
  <c r="J20" i="48" s="1"/>
  <c r="D21" i="48"/>
  <c r="E21" i="48"/>
  <c r="F21" i="48"/>
  <c r="G21" i="48"/>
  <c r="D22" i="48"/>
  <c r="E22" i="48"/>
  <c r="F22" i="48"/>
  <c r="H22" i="48" s="1"/>
  <c r="J22" i="48" s="1"/>
  <c r="T22" i="48" s="1"/>
  <c r="G22" i="48"/>
  <c r="D23" i="48"/>
  <c r="E23" i="48" s="1"/>
  <c r="F23" i="48"/>
  <c r="G23" i="48"/>
  <c r="H23" i="48"/>
  <c r="J23" i="48"/>
  <c r="S23" i="48"/>
  <c r="T23" i="48"/>
  <c r="D24" i="48"/>
  <c r="E24" i="48" s="1"/>
  <c r="F24" i="48"/>
  <c r="G24" i="48"/>
  <c r="D25" i="48"/>
  <c r="F25" i="48"/>
  <c r="G25" i="48"/>
  <c r="D26" i="48"/>
  <c r="G26" i="48"/>
  <c r="D27" i="48"/>
  <c r="E27" i="48" s="1"/>
  <c r="F27" i="48"/>
  <c r="G27" i="48"/>
  <c r="H27" i="48"/>
  <c r="J27" i="48"/>
  <c r="D28" i="48"/>
  <c r="E28" i="48" s="1"/>
  <c r="G28" i="48"/>
  <c r="D29" i="48"/>
  <c r="E29" i="48" s="1"/>
  <c r="G29" i="48"/>
  <c r="D30" i="48"/>
  <c r="E30" i="48"/>
  <c r="F30" i="48"/>
  <c r="G30" i="48"/>
  <c r="H30" i="48"/>
  <c r="J30" i="48" s="1"/>
  <c r="S30" i="48"/>
  <c r="D31" i="48"/>
  <c r="E31" i="48" s="1"/>
  <c r="G31" i="48"/>
  <c r="D32" i="48"/>
  <c r="E32" i="48"/>
  <c r="F32" i="48"/>
  <c r="H32" i="48" s="1"/>
  <c r="G32" i="48"/>
  <c r="J32" i="48"/>
  <c r="N32" i="48"/>
  <c r="O32" i="48"/>
  <c r="P32" i="48"/>
  <c r="T32" i="48"/>
  <c r="U32" i="48"/>
  <c r="D33" i="48"/>
  <c r="E33" i="48"/>
  <c r="F33" i="48"/>
  <c r="G33" i="48"/>
  <c r="D34" i="48"/>
  <c r="E34" i="48"/>
  <c r="F34" i="48"/>
  <c r="H34" i="48" s="1"/>
  <c r="J34" i="48" s="1"/>
  <c r="O34" i="48" s="1"/>
  <c r="G34" i="48"/>
  <c r="P34" i="48"/>
  <c r="S34" i="48"/>
  <c r="T34" i="48"/>
  <c r="U34" i="48"/>
  <c r="D35" i="48"/>
  <c r="F35" i="48" s="1"/>
  <c r="G35" i="48"/>
  <c r="D36" i="48"/>
  <c r="E36" i="48" s="1"/>
  <c r="G36" i="48"/>
  <c r="D37" i="48"/>
  <c r="G37" i="48"/>
  <c r="D38" i="48"/>
  <c r="E38" i="48" s="1"/>
  <c r="F38" i="48"/>
  <c r="G38" i="48"/>
  <c r="H38" i="48"/>
  <c r="J38" i="48"/>
  <c r="N38" i="48" s="1"/>
  <c r="S38" i="48"/>
  <c r="T38" i="48"/>
  <c r="U38" i="48"/>
  <c r="V38" i="48"/>
  <c r="W38" i="48"/>
  <c r="D39" i="48"/>
  <c r="G39" i="48"/>
  <c r="D40" i="48"/>
  <c r="G40" i="48"/>
  <c r="D41" i="48"/>
  <c r="E41" i="48"/>
  <c r="F41" i="48"/>
  <c r="G41" i="48"/>
  <c r="H41" i="48"/>
  <c r="J41" i="48"/>
  <c r="T41" i="48" s="1"/>
  <c r="U41" i="48" s="1"/>
  <c r="N41" i="48"/>
  <c r="O41" i="48"/>
  <c r="P41" i="48" s="1"/>
  <c r="Q41" i="48"/>
  <c r="R41" i="48" s="1"/>
  <c r="V41" i="48"/>
  <c r="D42" i="48"/>
  <c r="G42" i="48"/>
  <c r="D43" i="48"/>
  <c r="E43" i="48"/>
  <c r="F43" i="48"/>
  <c r="G43" i="48"/>
  <c r="D44" i="48"/>
  <c r="F44" i="48" s="1"/>
  <c r="G44" i="48"/>
  <c r="H44" i="48"/>
  <c r="J44" i="48"/>
  <c r="D45" i="48"/>
  <c r="E45" i="48"/>
  <c r="F45" i="48"/>
  <c r="G45" i="48"/>
  <c r="H45" i="48"/>
  <c r="J45" i="48" s="1"/>
  <c r="D46" i="48"/>
  <c r="F46" i="48"/>
  <c r="G46" i="48"/>
  <c r="D47" i="48"/>
  <c r="E47" i="48"/>
  <c r="G47" i="48"/>
  <c r="D48" i="48"/>
  <c r="G48" i="48"/>
  <c r="D49" i="48"/>
  <c r="E49" i="48" s="1"/>
  <c r="F49" i="48"/>
  <c r="H49" i="48" s="1"/>
  <c r="J49" i="48" s="1"/>
  <c r="G49" i="48"/>
  <c r="D50" i="48"/>
  <c r="E50" i="48"/>
  <c r="G50" i="48"/>
  <c r="D51" i="48"/>
  <c r="E51" i="48" s="1"/>
  <c r="F51" i="48"/>
  <c r="H51" i="48" s="1"/>
  <c r="J51" i="48" s="1"/>
  <c r="G51" i="48"/>
  <c r="N51" i="48"/>
  <c r="S51" i="48"/>
  <c r="D52" i="48"/>
  <c r="E52" i="48"/>
  <c r="F52" i="48"/>
  <c r="G52" i="48"/>
  <c r="D53" i="48"/>
  <c r="E53" i="48"/>
  <c r="F53" i="48"/>
  <c r="G53" i="48"/>
  <c r="H53" i="48"/>
  <c r="J53" i="48"/>
  <c r="N53" i="48"/>
  <c r="D54" i="48"/>
  <c r="F54" i="48" s="1"/>
  <c r="E54" i="48"/>
  <c r="G54" i="48"/>
  <c r="D55" i="48"/>
  <c r="E55" i="48"/>
  <c r="F55" i="48"/>
  <c r="G55" i="48"/>
  <c r="H55" i="48"/>
  <c r="J55" i="48"/>
  <c r="O55" i="48"/>
  <c r="P55" i="48"/>
  <c r="Q55" i="48" s="1"/>
  <c r="S55" i="48"/>
  <c r="D56" i="48"/>
  <c r="E56" i="48"/>
  <c r="F56" i="48"/>
  <c r="G56" i="48"/>
  <c r="D57" i="48"/>
  <c r="E57" i="48" s="1"/>
  <c r="F57" i="48"/>
  <c r="H57" i="48" s="1"/>
  <c r="J57" i="48" s="1"/>
  <c r="G57" i="48"/>
  <c r="D58" i="48"/>
  <c r="G58" i="48"/>
  <c r="T12" i="49"/>
  <c r="U12" i="49"/>
  <c r="T13" i="49"/>
  <c r="U13" i="49"/>
  <c r="T14" i="49"/>
  <c r="U14" i="49"/>
  <c r="T15" i="49"/>
  <c r="U15" i="49"/>
  <c r="T16" i="49"/>
  <c r="U16" i="49"/>
  <c r="T17" i="49"/>
  <c r="U17" i="49" s="1"/>
  <c r="T18" i="49"/>
  <c r="U18" i="49"/>
  <c r="T19" i="49"/>
  <c r="U19" i="49" s="1"/>
  <c r="T20" i="49"/>
  <c r="U20" i="49" s="1"/>
  <c r="T21" i="49"/>
  <c r="U21" i="49" s="1"/>
  <c r="T22" i="49"/>
  <c r="U22" i="49"/>
  <c r="T23" i="49"/>
  <c r="U23" i="49" s="1"/>
  <c r="T24" i="49"/>
  <c r="U24" i="49" s="1"/>
  <c r="T25" i="49"/>
  <c r="T26" i="49"/>
  <c r="U26" i="49" s="1"/>
  <c r="T27" i="49"/>
  <c r="U27" i="49" s="1"/>
  <c r="T28" i="49"/>
  <c r="U28" i="49"/>
  <c r="T29" i="49"/>
  <c r="U29" i="49" s="1"/>
  <c r="T30" i="49"/>
  <c r="U30" i="49"/>
  <c r="T31" i="49"/>
  <c r="U31" i="49"/>
  <c r="T33" i="49"/>
  <c r="U33" i="49"/>
  <c r="T34" i="49"/>
  <c r="U34" i="49"/>
  <c r="T35" i="49"/>
  <c r="U35" i="49"/>
  <c r="T36" i="49"/>
  <c r="U36" i="49" s="1"/>
  <c r="T37" i="49"/>
  <c r="U37" i="49"/>
  <c r="T38" i="49"/>
  <c r="U38" i="49"/>
  <c r="T39" i="49"/>
  <c r="U39" i="49"/>
  <c r="T40" i="49"/>
  <c r="U40" i="49"/>
  <c r="T41" i="49"/>
  <c r="U41" i="49"/>
  <c r="T42" i="49"/>
  <c r="U42" i="49"/>
  <c r="T43" i="49"/>
  <c r="U43" i="49"/>
  <c r="T44" i="49"/>
  <c r="U44" i="49" s="1"/>
  <c r="T45" i="49"/>
  <c r="U45" i="49"/>
  <c r="T46" i="49"/>
  <c r="U46" i="49" s="1"/>
  <c r="T47" i="49"/>
  <c r="U47" i="49"/>
  <c r="T48" i="49"/>
  <c r="U48" i="49" s="1"/>
  <c r="T49" i="49"/>
  <c r="U49" i="49"/>
  <c r="T50" i="49"/>
  <c r="U50" i="49" s="1"/>
  <c r="T51" i="49"/>
  <c r="U51" i="49"/>
  <c r="T52" i="49"/>
  <c r="U52" i="49" s="1"/>
  <c r="T54" i="49"/>
  <c r="U54" i="49"/>
  <c r="T55" i="49"/>
  <c r="U55" i="49" s="1"/>
  <c r="T56" i="49"/>
  <c r="U56" i="49"/>
  <c r="T57" i="49"/>
  <c r="U57" i="49"/>
  <c r="T58" i="49"/>
  <c r="U58" i="49"/>
  <c r="T59" i="49"/>
  <c r="U59" i="49"/>
  <c r="T60" i="49"/>
  <c r="U60" i="49"/>
  <c r="T61" i="49"/>
  <c r="U61" i="49"/>
  <c r="T62" i="49"/>
  <c r="U62" i="49" s="1"/>
  <c r="T63" i="49"/>
  <c r="U63" i="49"/>
  <c r="T64" i="49"/>
  <c r="U64" i="49" s="1"/>
  <c r="T65" i="49"/>
  <c r="U65" i="49"/>
  <c r="T66" i="49"/>
  <c r="U66" i="49" s="1"/>
  <c r="T67" i="49"/>
  <c r="U67" i="49" s="1"/>
  <c r="T68" i="49"/>
  <c r="U68" i="49"/>
  <c r="T69" i="49"/>
  <c r="U69" i="49" s="1"/>
  <c r="T70" i="49"/>
  <c r="U70" i="49"/>
  <c r="T71" i="49"/>
  <c r="U71" i="49"/>
  <c r="T72" i="49"/>
  <c r="U72" i="49"/>
  <c r="T73" i="49"/>
  <c r="U73" i="49"/>
  <c r="T75" i="49"/>
  <c r="T76" i="49"/>
  <c r="T77" i="49"/>
  <c r="U77" i="49"/>
  <c r="T78" i="49"/>
  <c r="U78" i="49"/>
  <c r="T79" i="49"/>
  <c r="U79" i="49"/>
  <c r="T80" i="49"/>
  <c r="U80" i="49"/>
  <c r="T81" i="49"/>
  <c r="U81" i="49" s="1"/>
  <c r="T82" i="49"/>
  <c r="U82" i="49" s="1"/>
  <c r="T83" i="49"/>
  <c r="U83" i="49"/>
  <c r="T84" i="49"/>
  <c r="U84" i="49"/>
  <c r="T85" i="49"/>
  <c r="T86" i="49"/>
  <c r="U86" i="49" s="1"/>
  <c r="T87" i="49"/>
  <c r="U87" i="49"/>
  <c r="T88" i="49"/>
  <c r="U88" i="49" s="1"/>
  <c r="T89" i="49"/>
  <c r="U89" i="49"/>
  <c r="T90" i="49"/>
  <c r="U90" i="49" s="1"/>
  <c r="T91" i="49"/>
  <c r="U91" i="49"/>
  <c r="T92" i="49"/>
  <c r="U92" i="49"/>
  <c r="T93" i="49"/>
  <c r="T94" i="49"/>
  <c r="U94" i="49"/>
  <c r="T96" i="49"/>
  <c r="U96" i="49" s="1"/>
  <c r="T97" i="49"/>
  <c r="U97" i="49"/>
  <c r="T98" i="49"/>
  <c r="T99" i="49"/>
  <c r="U99" i="49"/>
  <c r="T100" i="49"/>
  <c r="U100" i="49" s="1"/>
  <c r="T101" i="49"/>
  <c r="U101" i="49"/>
  <c r="T102" i="49"/>
  <c r="U102" i="49" s="1"/>
  <c r="T103" i="49"/>
  <c r="U103" i="49"/>
  <c r="T104" i="49"/>
  <c r="T105" i="49"/>
  <c r="U105" i="49" s="1"/>
  <c r="T106" i="49"/>
  <c r="U106" i="49" s="1"/>
  <c r="T107" i="49"/>
  <c r="U107" i="49"/>
  <c r="T108" i="49"/>
  <c r="U108" i="49" s="1"/>
  <c r="T109" i="49"/>
  <c r="U109" i="49" s="1"/>
  <c r="T110" i="49"/>
  <c r="U110" i="49"/>
  <c r="T111" i="49"/>
  <c r="U111" i="49" s="1"/>
  <c r="T112" i="49"/>
  <c r="U112" i="49"/>
  <c r="T113" i="49"/>
  <c r="U113" i="49"/>
  <c r="T114" i="49"/>
  <c r="U114" i="49" s="1"/>
  <c r="T115" i="49"/>
  <c r="U115" i="49"/>
  <c r="T117" i="49"/>
  <c r="U117" i="49" s="1"/>
  <c r="T118" i="49"/>
  <c r="U118" i="49"/>
  <c r="T119" i="49"/>
  <c r="U119" i="49"/>
  <c r="T120" i="49"/>
  <c r="U120" i="49"/>
  <c r="T121" i="49"/>
  <c r="U121" i="49" s="1"/>
  <c r="T122" i="49"/>
  <c r="U122" i="49"/>
  <c r="T123" i="49"/>
  <c r="T124" i="49"/>
  <c r="U124" i="49"/>
  <c r="T125" i="49"/>
  <c r="U125" i="49"/>
  <c r="T126" i="49"/>
  <c r="U126" i="49" s="1"/>
  <c r="T127" i="49"/>
  <c r="U127" i="49"/>
  <c r="T128" i="49"/>
  <c r="U128" i="49"/>
  <c r="T129" i="49"/>
  <c r="U129" i="49"/>
  <c r="T130" i="49"/>
  <c r="U130" i="49"/>
  <c r="T131" i="49"/>
  <c r="U131" i="49" s="1"/>
  <c r="T132" i="49"/>
  <c r="U132" i="49"/>
  <c r="T133" i="49"/>
  <c r="U133" i="49" s="1"/>
  <c r="T134" i="49"/>
  <c r="U134" i="49"/>
  <c r="T135" i="49"/>
  <c r="U135" i="49" s="1"/>
  <c r="T136" i="49"/>
  <c r="U136" i="49" s="1"/>
  <c r="D143" i="49"/>
  <c r="K143" i="49"/>
  <c r="U143" i="49"/>
  <c r="D144" i="49"/>
  <c r="K144" i="49"/>
  <c r="U144" i="49"/>
  <c r="D145" i="49"/>
  <c r="K145" i="49"/>
  <c r="U145" i="49"/>
  <c r="D146" i="49"/>
  <c r="K146" i="49"/>
  <c r="U146" i="49"/>
  <c r="D147" i="49"/>
  <c r="K147" i="49"/>
  <c r="U147" i="49"/>
  <c r="D148" i="49"/>
  <c r="K148" i="49"/>
  <c r="U148" i="49"/>
  <c r="D149" i="49"/>
  <c r="K149" i="49"/>
  <c r="U149" i="49"/>
  <c r="D150" i="49"/>
  <c r="K150" i="49"/>
  <c r="U150" i="49"/>
  <c r="D151" i="49"/>
  <c r="K151" i="49"/>
  <c r="U151" i="49"/>
  <c r="D152" i="49"/>
  <c r="K152" i="49"/>
  <c r="U152" i="49"/>
  <c r="D153" i="49"/>
  <c r="K153" i="49"/>
  <c r="U153" i="49"/>
  <c r="D154" i="49"/>
  <c r="K154" i="49"/>
  <c r="U154" i="49"/>
  <c r="D155" i="49"/>
  <c r="K155" i="49"/>
  <c r="U155" i="49"/>
  <c r="D156" i="49"/>
  <c r="K156" i="49"/>
  <c r="U156" i="49"/>
  <c r="D157" i="49"/>
  <c r="K157" i="49"/>
  <c r="U157" i="49"/>
  <c r="D158" i="49"/>
  <c r="K158" i="49"/>
  <c r="U158" i="49"/>
  <c r="D159" i="49"/>
  <c r="K159" i="49"/>
  <c r="U159" i="49"/>
  <c r="D160" i="49"/>
  <c r="K160" i="49"/>
  <c r="U160" i="49"/>
  <c r="D161" i="49"/>
  <c r="K161" i="49"/>
  <c r="U161" i="49"/>
  <c r="D162" i="49"/>
  <c r="K162" i="49"/>
  <c r="U162" i="49"/>
  <c r="D166" i="49"/>
  <c r="K166" i="49"/>
  <c r="U166" i="49"/>
  <c r="D167" i="49"/>
  <c r="K167" i="49"/>
  <c r="U167" i="49"/>
  <c r="D168" i="49"/>
  <c r="K168" i="49"/>
  <c r="U168" i="49"/>
  <c r="D169" i="49"/>
  <c r="K169" i="49"/>
  <c r="U169" i="49"/>
  <c r="D170" i="49"/>
  <c r="K170" i="49"/>
  <c r="U170" i="49"/>
  <c r="D171" i="49"/>
  <c r="K171" i="49"/>
  <c r="U171" i="49"/>
  <c r="D172" i="49"/>
  <c r="K172" i="49"/>
  <c r="U172" i="49"/>
  <c r="D173" i="49"/>
  <c r="K173" i="49"/>
  <c r="U173" i="49"/>
  <c r="D174" i="49"/>
  <c r="K174" i="49"/>
  <c r="U174" i="49"/>
  <c r="D175" i="49"/>
  <c r="K175" i="49"/>
  <c r="U175" i="49"/>
  <c r="D176" i="49"/>
  <c r="K176" i="49"/>
  <c r="U176" i="49"/>
  <c r="D177" i="49"/>
  <c r="K177" i="49"/>
  <c r="U177" i="49"/>
  <c r="D178" i="49"/>
  <c r="K178" i="49"/>
  <c r="U178" i="49"/>
  <c r="D179" i="49"/>
  <c r="K179" i="49"/>
  <c r="U179" i="49"/>
  <c r="D180" i="49"/>
  <c r="K180" i="49"/>
  <c r="U180" i="49"/>
  <c r="D181" i="49"/>
  <c r="K181" i="49"/>
  <c r="U181" i="49"/>
  <c r="D182" i="49"/>
  <c r="K182" i="49"/>
  <c r="U182" i="49"/>
  <c r="D183" i="49"/>
  <c r="K183" i="49"/>
  <c r="U183" i="49"/>
  <c r="D184" i="49"/>
  <c r="K184" i="49"/>
  <c r="U184" i="49"/>
  <c r="D185" i="49"/>
  <c r="K185" i="49"/>
  <c r="U185" i="49"/>
  <c r="D189" i="49"/>
  <c r="K189" i="49"/>
  <c r="U189" i="49"/>
  <c r="D190" i="49"/>
  <c r="K190" i="49"/>
  <c r="U190" i="49"/>
  <c r="D191" i="49"/>
  <c r="K191" i="49"/>
  <c r="U191" i="49"/>
  <c r="D192" i="49"/>
  <c r="K192" i="49"/>
  <c r="U192" i="49"/>
  <c r="D193" i="49"/>
  <c r="K193" i="49"/>
  <c r="U193" i="49"/>
  <c r="D194" i="49"/>
  <c r="K194" i="49"/>
  <c r="U194" i="49"/>
  <c r="D195" i="49"/>
  <c r="K195" i="49"/>
  <c r="U195" i="49"/>
  <c r="D196" i="49"/>
  <c r="K196" i="49"/>
  <c r="U196" i="49"/>
  <c r="D197" i="49"/>
  <c r="K197" i="49"/>
  <c r="U197" i="49"/>
  <c r="D198" i="49"/>
  <c r="K198" i="49"/>
  <c r="U198" i="49"/>
  <c r="D199" i="49"/>
  <c r="K199" i="49"/>
  <c r="U199" i="49"/>
  <c r="D200" i="49"/>
  <c r="K200" i="49"/>
  <c r="U200" i="49"/>
  <c r="D201" i="49"/>
  <c r="K201" i="49"/>
  <c r="U201" i="49"/>
  <c r="D202" i="49"/>
  <c r="K202" i="49"/>
  <c r="U202" i="49"/>
  <c r="D203" i="49"/>
  <c r="K203" i="49"/>
  <c r="U203" i="49"/>
  <c r="D204" i="49"/>
  <c r="K204" i="49"/>
  <c r="U204" i="49"/>
  <c r="D205" i="49"/>
  <c r="K205" i="49"/>
  <c r="U205" i="49"/>
  <c r="D206" i="49"/>
  <c r="K206" i="49"/>
  <c r="U206" i="49"/>
  <c r="D207" i="49"/>
  <c r="K207" i="49"/>
  <c r="U207" i="49"/>
  <c r="D208" i="49"/>
  <c r="K208" i="49"/>
  <c r="U208" i="49"/>
  <c r="D212" i="49"/>
  <c r="K212" i="49"/>
  <c r="U212" i="49"/>
  <c r="D213" i="49"/>
  <c r="K213" i="49"/>
  <c r="U213" i="49"/>
  <c r="D214" i="49"/>
  <c r="K214" i="49"/>
  <c r="U214" i="49"/>
  <c r="D215" i="49"/>
  <c r="K215" i="49"/>
  <c r="U215" i="49"/>
  <c r="D216" i="49"/>
  <c r="K216" i="49"/>
  <c r="U216" i="49"/>
  <c r="D217" i="49"/>
  <c r="K217" i="49"/>
  <c r="U217" i="49"/>
  <c r="D218" i="49"/>
  <c r="K218" i="49"/>
  <c r="U218" i="49"/>
  <c r="D219" i="49"/>
  <c r="K219" i="49"/>
  <c r="U219" i="49"/>
  <c r="D220" i="49"/>
  <c r="K220" i="49"/>
  <c r="U220" i="49"/>
  <c r="D221" i="49"/>
  <c r="K221" i="49"/>
  <c r="U221" i="49"/>
  <c r="D222" i="49"/>
  <c r="K222" i="49"/>
  <c r="U222" i="49"/>
  <c r="D223" i="49"/>
  <c r="K223" i="49"/>
  <c r="U223" i="49"/>
  <c r="D224" i="49"/>
  <c r="K224" i="49"/>
  <c r="U224" i="49"/>
  <c r="D225" i="49"/>
  <c r="K225" i="49"/>
  <c r="U225" i="49"/>
  <c r="D226" i="49"/>
  <c r="K226" i="49"/>
  <c r="U226" i="49"/>
  <c r="D227" i="49"/>
  <c r="K227" i="49"/>
  <c r="U227" i="49"/>
  <c r="D228" i="49"/>
  <c r="K228" i="49"/>
  <c r="U228" i="49"/>
  <c r="D229" i="49"/>
  <c r="K229" i="49"/>
  <c r="U229" i="49"/>
  <c r="D230" i="49"/>
  <c r="K230" i="49"/>
  <c r="U230" i="49"/>
  <c r="D231" i="49"/>
  <c r="K231" i="49"/>
  <c r="U231" i="49"/>
  <c r="D235" i="49"/>
  <c r="K235" i="49"/>
  <c r="U235" i="49"/>
  <c r="D236" i="49"/>
  <c r="K236" i="49"/>
  <c r="U236" i="49"/>
  <c r="D237" i="49"/>
  <c r="K237" i="49"/>
  <c r="U237" i="49"/>
  <c r="D238" i="49"/>
  <c r="K238" i="49"/>
  <c r="U238" i="49"/>
  <c r="D239" i="49"/>
  <c r="K239" i="49"/>
  <c r="U239" i="49"/>
  <c r="D240" i="49"/>
  <c r="K240" i="49"/>
  <c r="U240" i="49"/>
  <c r="D241" i="49"/>
  <c r="K241" i="49"/>
  <c r="U241" i="49"/>
  <c r="D242" i="49"/>
  <c r="K242" i="49"/>
  <c r="U242" i="49"/>
  <c r="D243" i="49"/>
  <c r="K243" i="49"/>
  <c r="U243" i="49"/>
  <c r="D244" i="49"/>
  <c r="K244" i="49"/>
  <c r="U244" i="49"/>
  <c r="D245" i="49"/>
  <c r="K245" i="49"/>
  <c r="U245" i="49"/>
  <c r="D246" i="49"/>
  <c r="K246" i="49"/>
  <c r="U246" i="49"/>
  <c r="D247" i="49"/>
  <c r="K247" i="49"/>
  <c r="U247" i="49"/>
  <c r="D248" i="49"/>
  <c r="K248" i="49"/>
  <c r="U248" i="49"/>
  <c r="D249" i="49"/>
  <c r="K249" i="49"/>
  <c r="U249" i="49"/>
  <c r="D250" i="49"/>
  <c r="K250" i="49"/>
  <c r="U250" i="49"/>
  <c r="D251" i="49"/>
  <c r="K251" i="49"/>
  <c r="U251" i="49"/>
  <c r="D252" i="49"/>
  <c r="K252" i="49"/>
  <c r="U252" i="49"/>
  <c r="D253" i="49"/>
  <c r="K253" i="49"/>
  <c r="U253" i="49"/>
  <c r="D254" i="49"/>
  <c r="K254" i="49"/>
  <c r="U254" i="49"/>
  <c r="D258" i="49"/>
  <c r="K258" i="49"/>
  <c r="U258" i="49"/>
  <c r="D259" i="49"/>
  <c r="K259" i="49"/>
  <c r="U259" i="49"/>
  <c r="D260" i="49"/>
  <c r="K260" i="49"/>
  <c r="U260" i="49"/>
  <c r="D261" i="49"/>
  <c r="K261" i="49"/>
  <c r="U261" i="49"/>
  <c r="D262" i="49"/>
  <c r="K262" i="49"/>
  <c r="U262" i="49"/>
  <c r="D263" i="49"/>
  <c r="K263" i="49"/>
  <c r="U263" i="49"/>
  <c r="D264" i="49"/>
  <c r="K264" i="49"/>
  <c r="U264" i="49"/>
  <c r="D265" i="49"/>
  <c r="K265" i="49"/>
  <c r="U265" i="49"/>
  <c r="D266" i="49"/>
  <c r="K266" i="49"/>
  <c r="U266" i="49"/>
  <c r="D267" i="49"/>
  <c r="K267" i="49"/>
  <c r="U267" i="49"/>
  <c r="D268" i="49"/>
  <c r="K268" i="49"/>
  <c r="U268" i="49"/>
  <c r="D269" i="49"/>
  <c r="K269" i="49"/>
  <c r="U269" i="49"/>
  <c r="D270" i="49"/>
  <c r="K270" i="49"/>
  <c r="U270" i="49"/>
  <c r="D271" i="49"/>
  <c r="K271" i="49"/>
  <c r="U271" i="49"/>
  <c r="D272" i="49"/>
  <c r="K272" i="49"/>
  <c r="U272" i="49"/>
  <c r="D273" i="49"/>
  <c r="K273" i="49"/>
  <c r="U273" i="49"/>
  <c r="D274" i="49"/>
  <c r="K274" i="49"/>
  <c r="U274" i="49"/>
  <c r="D275" i="49"/>
  <c r="K275" i="49"/>
  <c r="U275" i="49"/>
  <c r="D276" i="49"/>
  <c r="K276" i="49"/>
  <c r="U276" i="49"/>
  <c r="D277" i="49"/>
  <c r="K277" i="49"/>
  <c r="U277" i="49"/>
  <c r="E281" i="49"/>
  <c r="G282" i="49" s="1"/>
  <c r="B2" i="3"/>
  <c r="B3" i="3"/>
  <c r="H3" i="3"/>
  <c r="K3" i="3"/>
  <c r="C4" i="3"/>
  <c r="D6" i="3"/>
  <c r="E6" i="3"/>
  <c r="I7" i="3"/>
  <c r="J7" i="3"/>
  <c r="A9" i="3"/>
  <c r="B9" i="3"/>
  <c r="C9" i="3"/>
  <c r="J9" i="3"/>
  <c r="A10" i="3"/>
  <c r="B10" i="3"/>
  <c r="C10" i="3"/>
  <c r="J10" i="3"/>
  <c r="A11" i="3"/>
  <c r="B11" i="3"/>
  <c r="C11" i="3"/>
  <c r="J11" i="3"/>
  <c r="A12" i="3"/>
  <c r="B12" i="3"/>
  <c r="C12" i="3"/>
  <c r="J12" i="3"/>
  <c r="A13" i="3"/>
  <c r="B13" i="3"/>
  <c r="C13" i="3"/>
  <c r="F13" i="3" s="1"/>
  <c r="J13" i="3"/>
  <c r="A14" i="3"/>
  <c r="B14" i="3"/>
  <c r="C14" i="3"/>
  <c r="F14" i="3" s="1"/>
  <c r="J14" i="3"/>
  <c r="A15" i="3"/>
  <c r="B15" i="3"/>
  <c r="C15" i="3"/>
  <c r="J15" i="3"/>
  <c r="A16" i="3"/>
  <c r="B16" i="3"/>
  <c r="C16" i="3"/>
  <c r="J16" i="3"/>
  <c r="A17" i="3"/>
  <c r="B17" i="3"/>
  <c r="C17" i="3"/>
  <c r="F17" i="3"/>
  <c r="J17" i="3"/>
  <c r="A18" i="3"/>
  <c r="B18" i="3"/>
  <c r="C18" i="3"/>
  <c r="F18" i="3" s="1"/>
  <c r="J18" i="3"/>
  <c r="A19" i="3"/>
  <c r="B19" i="3"/>
  <c r="C19" i="3"/>
  <c r="F19" i="3"/>
  <c r="J19" i="3"/>
  <c r="A20" i="3"/>
  <c r="B20" i="3"/>
  <c r="C20" i="3"/>
  <c r="F20" i="3" s="1"/>
  <c r="J20" i="3"/>
  <c r="A21" i="3"/>
  <c r="B21" i="3"/>
  <c r="C21" i="3"/>
  <c r="F21" i="3" s="1"/>
  <c r="J21" i="3"/>
  <c r="A22" i="3"/>
  <c r="B22" i="3"/>
  <c r="C22" i="3"/>
  <c r="F22" i="3"/>
  <c r="J22" i="3"/>
  <c r="A23" i="3"/>
  <c r="B23" i="3"/>
  <c r="C23" i="3"/>
  <c r="J23" i="3"/>
  <c r="A24" i="3"/>
  <c r="B24" i="3"/>
  <c r="C24" i="3"/>
  <c r="F24" i="3"/>
  <c r="J24" i="3"/>
  <c r="A25" i="3"/>
  <c r="B25" i="3"/>
  <c r="C25" i="3"/>
  <c r="J25" i="3"/>
  <c r="A26" i="3"/>
  <c r="B26" i="3"/>
  <c r="C26" i="3"/>
  <c r="F26" i="3"/>
  <c r="J26" i="3"/>
  <c r="A27" i="3"/>
  <c r="B27" i="3"/>
  <c r="C27" i="3"/>
  <c r="F27" i="3"/>
  <c r="J27" i="3"/>
  <c r="A28" i="3"/>
  <c r="B28" i="3"/>
  <c r="C28" i="3"/>
  <c r="J28" i="3"/>
  <c r="A29" i="3"/>
  <c r="B29" i="3"/>
  <c r="F29" i="3" s="1"/>
  <c r="C29" i="3"/>
  <c r="J29" i="3"/>
  <c r="A30" i="3"/>
  <c r="B30" i="3"/>
  <c r="C30" i="3"/>
  <c r="F30" i="3"/>
  <c r="J30" i="3"/>
  <c r="A31" i="3"/>
  <c r="B31" i="3"/>
  <c r="C31" i="3"/>
  <c r="D31" i="3"/>
  <c r="G31" i="3" s="1"/>
  <c r="H31" i="3" s="1"/>
  <c r="J31" i="3"/>
  <c r="A32" i="3"/>
  <c r="B32" i="3"/>
  <c r="C32" i="3"/>
  <c r="D32" i="3"/>
  <c r="G32" i="3" s="1"/>
  <c r="H32" i="3"/>
  <c r="F32" i="3"/>
  <c r="J32" i="3"/>
  <c r="A33" i="3"/>
  <c r="B33" i="3"/>
  <c r="F33" i="3" s="1"/>
  <c r="C33" i="3"/>
  <c r="J33" i="3"/>
  <c r="A34" i="3"/>
  <c r="B34" i="3"/>
  <c r="F34" i="3" s="1"/>
  <c r="C34" i="3"/>
  <c r="J34" i="3"/>
  <c r="A35" i="3"/>
  <c r="B35" i="3"/>
  <c r="C35" i="3"/>
  <c r="F35" i="3"/>
  <c r="J35" i="3"/>
  <c r="A36" i="3"/>
  <c r="B36" i="3"/>
  <c r="C36" i="3"/>
  <c r="F36" i="3"/>
  <c r="J36" i="3"/>
  <c r="A37" i="3"/>
  <c r="B37" i="3"/>
  <c r="F37" i="3" s="1"/>
  <c r="C37" i="3"/>
  <c r="J37" i="3"/>
  <c r="A38" i="3"/>
  <c r="B38" i="3"/>
  <c r="C38" i="3"/>
  <c r="F38" i="3"/>
  <c r="J38" i="3"/>
  <c r="A39" i="3"/>
  <c r="B39" i="3"/>
  <c r="C39" i="3"/>
  <c r="D39" i="3"/>
  <c r="G39" i="3" s="1"/>
  <c r="H39" i="3" s="1"/>
  <c r="J39" i="3"/>
  <c r="A40" i="3"/>
  <c r="B40" i="3"/>
  <c r="C40" i="3"/>
  <c r="F40" i="3"/>
  <c r="J40" i="3"/>
  <c r="A41" i="3"/>
  <c r="B41" i="3"/>
  <c r="C41" i="3"/>
  <c r="F41" i="3" s="1"/>
  <c r="J41" i="3"/>
  <c r="A42" i="3"/>
  <c r="B42" i="3"/>
  <c r="C42" i="3"/>
  <c r="D42" i="3"/>
  <c r="G42" i="3" s="1"/>
  <c r="H42" i="3"/>
  <c r="J42" i="3"/>
  <c r="A43" i="3"/>
  <c r="B43" i="3"/>
  <c r="C43" i="3"/>
  <c r="F43" i="3"/>
  <c r="J43" i="3"/>
  <c r="A44" i="3"/>
  <c r="B44" i="3"/>
  <c r="C44" i="3"/>
  <c r="F44" i="3" s="1"/>
  <c r="J44" i="3"/>
  <c r="A45" i="3"/>
  <c r="B45" i="3"/>
  <c r="C45" i="3"/>
  <c r="F45" i="3"/>
  <c r="J45" i="3"/>
  <c r="A46" i="3"/>
  <c r="B46" i="3"/>
  <c r="C46" i="3"/>
  <c r="F46" i="3"/>
  <c r="J46" i="3"/>
  <c r="A47" i="3"/>
  <c r="B47" i="3"/>
  <c r="C47" i="3"/>
  <c r="F47" i="3"/>
  <c r="J47" i="3"/>
  <c r="A48" i="3"/>
  <c r="B48" i="3"/>
  <c r="C48" i="3"/>
  <c r="F48" i="3" s="1"/>
  <c r="J48" i="3"/>
  <c r="A49" i="3"/>
  <c r="B49" i="3"/>
  <c r="C49" i="3"/>
  <c r="F49" i="3"/>
  <c r="J49" i="3"/>
  <c r="A50" i="3"/>
  <c r="B50" i="3"/>
  <c r="F50" i="3" s="1"/>
  <c r="C50" i="3"/>
  <c r="J50" i="3"/>
  <c r="A51" i="3"/>
  <c r="B51" i="3"/>
  <c r="C51" i="3"/>
  <c r="F51" i="3"/>
  <c r="J51" i="3"/>
  <c r="A52" i="3"/>
  <c r="B52" i="3"/>
  <c r="C52" i="3"/>
  <c r="F52" i="3" s="1"/>
  <c r="J52" i="3"/>
  <c r="A53" i="3"/>
  <c r="B53" i="3"/>
  <c r="C53" i="3"/>
  <c r="D53" i="3"/>
  <c r="F53" i="3"/>
  <c r="G53" i="3"/>
  <c r="H53" i="3"/>
  <c r="J53" i="3"/>
  <c r="A54" i="3"/>
  <c r="B54" i="3"/>
  <c r="F54" i="3" s="1"/>
  <c r="C54" i="3"/>
  <c r="J54" i="3"/>
  <c r="A55" i="3"/>
  <c r="B55" i="3"/>
  <c r="C55" i="3"/>
  <c r="F55" i="3"/>
  <c r="J55" i="3"/>
  <c r="A56" i="3"/>
  <c r="B56" i="3"/>
  <c r="F56" i="3" s="1"/>
  <c r="C56" i="3"/>
  <c r="J56" i="3"/>
  <c r="A57" i="3"/>
  <c r="B57" i="3"/>
  <c r="C57" i="3"/>
  <c r="F57" i="3"/>
  <c r="J57" i="3"/>
  <c r="A58" i="3"/>
  <c r="B58" i="3"/>
  <c r="C58" i="3"/>
  <c r="D58" i="3"/>
  <c r="G58" i="3" s="1"/>
  <c r="H58" i="3" s="1"/>
  <c r="J58" i="3"/>
  <c r="B2" i="19"/>
  <c r="B3" i="19"/>
  <c r="H3" i="19"/>
  <c r="K3" i="19"/>
  <c r="C4" i="19"/>
  <c r="D6" i="19"/>
  <c r="E6" i="19"/>
  <c r="I7" i="19"/>
  <c r="J7" i="19"/>
  <c r="A9" i="19"/>
  <c r="B9" i="19"/>
  <c r="C9" i="19"/>
  <c r="D9" i="19"/>
  <c r="G9" i="19" s="1"/>
  <c r="H9" i="19" s="1"/>
  <c r="J9" i="19"/>
  <c r="A10" i="19"/>
  <c r="B10" i="19"/>
  <c r="C10" i="19"/>
  <c r="F10" i="19"/>
  <c r="J10" i="19"/>
  <c r="A11" i="19"/>
  <c r="B11" i="19"/>
  <c r="C11" i="19"/>
  <c r="J11" i="19"/>
  <c r="A12" i="19"/>
  <c r="B12" i="19"/>
  <c r="C12" i="19"/>
  <c r="F12" i="19"/>
  <c r="J12" i="19"/>
  <c r="A13" i="19"/>
  <c r="B13" i="19"/>
  <c r="F13" i="19" s="1"/>
  <c r="C13" i="19"/>
  <c r="J13" i="19"/>
  <c r="A14" i="19"/>
  <c r="B14" i="19"/>
  <c r="C14" i="19"/>
  <c r="F14" i="19"/>
  <c r="J14" i="19"/>
  <c r="A15" i="19"/>
  <c r="B15" i="19"/>
  <c r="C15" i="19"/>
  <c r="D15" i="19"/>
  <c r="G15" i="19" s="1"/>
  <c r="H15" i="19"/>
  <c r="J15" i="19"/>
  <c r="A16" i="19"/>
  <c r="B16" i="19"/>
  <c r="C16" i="19"/>
  <c r="F16" i="19" s="1"/>
  <c r="J16" i="19"/>
  <c r="A17" i="19"/>
  <c r="B17" i="19"/>
  <c r="C17" i="19"/>
  <c r="J17" i="19"/>
  <c r="A18" i="19"/>
  <c r="B18" i="19"/>
  <c r="C18" i="19"/>
  <c r="F18" i="19" s="1"/>
  <c r="D18" i="19"/>
  <c r="G18" i="19"/>
  <c r="H18" i="19" s="1"/>
  <c r="J18" i="19"/>
  <c r="A19" i="19"/>
  <c r="B19" i="19"/>
  <c r="F19" i="19" s="1"/>
  <c r="C19" i="19"/>
  <c r="J19" i="19"/>
  <c r="A20" i="19"/>
  <c r="B20" i="19"/>
  <c r="C20" i="19"/>
  <c r="F20" i="19"/>
  <c r="J20" i="19"/>
  <c r="A21" i="19"/>
  <c r="B21" i="19"/>
  <c r="C21" i="19"/>
  <c r="D21" i="19"/>
  <c r="G21" i="19" s="1"/>
  <c r="H21" i="19" s="1"/>
  <c r="J21" i="19"/>
  <c r="A22" i="19"/>
  <c r="B22" i="19"/>
  <c r="C22" i="19"/>
  <c r="F22" i="19" s="1"/>
  <c r="J22" i="19"/>
  <c r="A23" i="19"/>
  <c r="B23" i="19"/>
  <c r="F23" i="19" s="1"/>
  <c r="C23" i="19"/>
  <c r="J23" i="19"/>
  <c r="A24" i="19"/>
  <c r="B24" i="19"/>
  <c r="C24" i="19"/>
  <c r="F24" i="19"/>
  <c r="J24" i="19"/>
  <c r="A25" i="19"/>
  <c r="B25" i="19"/>
  <c r="C25" i="19"/>
  <c r="J25" i="19"/>
  <c r="A26" i="19"/>
  <c r="B26" i="19"/>
  <c r="C26" i="19"/>
  <c r="F26" i="19"/>
  <c r="J26" i="19"/>
  <c r="A27" i="19"/>
  <c r="B27" i="19"/>
  <c r="C27" i="19"/>
  <c r="J27" i="19"/>
  <c r="A28" i="19"/>
  <c r="B28" i="19"/>
  <c r="C28" i="19"/>
  <c r="J28" i="19"/>
  <c r="A29" i="19"/>
  <c r="B29" i="19"/>
  <c r="C29" i="19"/>
  <c r="D29" i="19"/>
  <c r="G29" i="19" s="1"/>
  <c r="H29" i="19" s="1"/>
  <c r="J29" i="19"/>
  <c r="A30" i="19"/>
  <c r="B30" i="19"/>
  <c r="C30" i="19"/>
  <c r="F30" i="19"/>
  <c r="J30" i="19"/>
  <c r="A31" i="19"/>
  <c r="B31" i="19"/>
  <c r="F31" i="19" s="1"/>
  <c r="C31" i="19"/>
  <c r="J31" i="19"/>
  <c r="A32" i="19"/>
  <c r="B32" i="19"/>
  <c r="C32" i="19"/>
  <c r="J32" i="19"/>
  <c r="A33" i="19"/>
  <c r="B33" i="19"/>
  <c r="F33" i="19" s="1"/>
  <c r="C33" i="19"/>
  <c r="J33" i="19"/>
  <c r="A34" i="19"/>
  <c r="B34" i="19"/>
  <c r="C34" i="19"/>
  <c r="F34" i="19" s="1"/>
  <c r="J34" i="19"/>
  <c r="A35" i="19"/>
  <c r="B35" i="19"/>
  <c r="C35" i="19"/>
  <c r="J35" i="19"/>
  <c r="A36" i="19"/>
  <c r="B36" i="19"/>
  <c r="F36" i="19" s="1"/>
  <c r="C36" i="19"/>
  <c r="J36" i="19"/>
  <c r="A37" i="19"/>
  <c r="B37" i="19"/>
  <c r="C37" i="19"/>
  <c r="J37" i="19"/>
  <c r="A38" i="19"/>
  <c r="B38" i="19"/>
  <c r="C38" i="19"/>
  <c r="F38" i="19"/>
  <c r="J38" i="19"/>
  <c r="A39" i="19"/>
  <c r="B39" i="19"/>
  <c r="C39" i="19"/>
  <c r="J39" i="19"/>
  <c r="A40" i="19"/>
  <c r="B40" i="19"/>
  <c r="C40" i="19"/>
  <c r="F40" i="19" s="1"/>
  <c r="D40" i="19"/>
  <c r="G40" i="19" s="1"/>
  <c r="H40" i="19" s="1"/>
  <c r="J40" i="19"/>
  <c r="A41" i="19"/>
  <c r="B41" i="19"/>
  <c r="C41" i="19"/>
  <c r="J41" i="19"/>
  <c r="A42" i="19"/>
  <c r="B42" i="19"/>
  <c r="C42" i="19"/>
  <c r="F42" i="19"/>
  <c r="J42" i="19"/>
  <c r="A43" i="19"/>
  <c r="B43" i="19"/>
  <c r="C43" i="19"/>
  <c r="J43" i="19"/>
  <c r="A44" i="19"/>
  <c r="B44" i="19"/>
  <c r="C44" i="19"/>
  <c r="F44" i="19"/>
  <c r="J44" i="19"/>
  <c r="A45" i="19"/>
  <c r="B45" i="19"/>
  <c r="C45" i="19"/>
  <c r="J45" i="19"/>
  <c r="A46" i="19"/>
  <c r="B46" i="19"/>
  <c r="C46" i="19"/>
  <c r="F46" i="19" s="1"/>
  <c r="D46" i="19"/>
  <c r="G46" i="19"/>
  <c r="H46" i="19" s="1"/>
  <c r="J46" i="19"/>
  <c r="A47" i="19"/>
  <c r="B47" i="19"/>
  <c r="C47" i="19"/>
  <c r="J47" i="19"/>
  <c r="A48" i="19"/>
  <c r="B48" i="19"/>
  <c r="C48" i="19"/>
  <c r="F48" i="19" s="1"/>
  <c r="J48" i="19"/>
  <c r="A49" i="19"/>
  <c r="B49" i="19"/>
  <c r="C49" i="19"/>
  <c r="J49" i="19"/>
  <c r="A50" i="19"/>
  <c r="B50" i="19"/>
  <c r="C50" i="19"/>
  <c r="F50" i="19"/>
  <c r="J50" i="19"/>
  <c r="A51" i="19"/>
  <c r="B51" i="19"/>
  <c r="C51" i="19"/>
  <c r="J51" i="19"/>
  <c r="A52" i="19"/>
  <c r="B52" i="19"/>
  <c r="F52" i="19" s="1"/>
  <c r="C52" i="19"/>
  <c r="J52" i="19"/>
  <c r="A53" i="19"/>
  <c r="B53" i="19"/>
  <c r="F53" i="19" s="1"/>
  <c r="C53" i="19"/>
  <c r="J53" i="19"/>
  <c r="A54" i="19"/>
  <c r="B54" i="19"/>
  <c r="C54" i="19"/>
  <c r="F54" i="19" s="1"/>
  <c r="J54" i="19"/>
  <c r="A55" i="19"/>
  <c r="B55" i="19"/>
  <c r="C55" i="19"/>
  <c r="J55" i="19"/>
  <c r="A56" i="19"/>
  <c r="B56" i="19"/>
  <c r="C56" i="19"/>
  <c r="F56" i="19"/>
  <c r="J56" i="19"/>
  <c r="A57" i="19"/>
  <c r="B57" i="19"/>
  <c r="F57" i="19" s="1"/>
  <c r="C57" i="19"/>
  <c r="J57" i="19"/>
  <c r="A58" i="19"/>
  <c r="B58" i="19"/>
  <c r="C58" i="19"/>
  <c r="F58" i="19"/>
  <c r="J58" i="19"/>
  <c r="B2" i="58"/>
  <c r="B3" i="58"/>
  <c r="H3" i="58"/>
  <c r="K3" i="58"/>
  <c r="C4" i="58"/>
  <c r="D6" i="58"/>
  <c r="E6" i="58"/>
  <c r="I7" i="58"/>
  <c r="J7" i="58"/>
  <c r="A9" i="58"/>
  <c r="B9" i="58"/>
  <c r="F9" i="58" s="1"/>
  <c r="C9" i="58"/>
  <c r="D9" i="58"/>
  <c r="G9" i="58"/>
  <c r="H9" i="58" s="1"/>
  <c r="J9" i="58"/>
  <c r="A10" i="58"/>
  <c r="B10" i="58"/>
  <c r="C10" i="58"/>
  <c r="F10" i="58" s="1"/>
  <c r="J10" i="58"/>
  <c r="A11" i="58"/>
  <c r="B11" i="58"/>
  <c r="F11" i="58" s="1"/>
  <c r="C11" i="58"/>
  <c r="J11" i="58"/>
  <c r="A12" i="58"/>
  <c r="B12" i="58"/>
  <c r="F12" i="58" s="1"/>
  <c r="C12" i="58"/>
  <c r="D12" i="58"/>
  <c r="G12" i="58" s="1"/>
  <c r="H12" i="58" s="1"/>
  <c r="J12" i="58"/>
  <c r="A13" i="58"/>
  <c r="B13" i="58"/>
  <c r="C13" i="58"/>
  <c r="F13" i="58"/>
  <c r="J13" i="58"/>
  <c r="A14" i="58"/>
  <c r="B14" i="58"/>
  <c r="C14" i="58"/>
  <c r="F14" i="58" s="1"/>
  <c r="J14" i="58"/>
  <c r="A15" i="58"/>
  <c r="B15" i="58"/>
  <c r="C15" i="58"/>
  <c r="D15" i="58"/>
  <c r="F15" i="58"/>
  <c r="G15" i="58"/>
  <c r="H15" i="58" s="1"/>
  <c r="J15" i="58"/>
  <c r="A16" i="58"/>
  <c r="B16" i="58"/>
  <c r="C16" i="58"/>
  <c r="D16" i="58"/>
  <c r="G16" i="58" s="1"/>
  <c r="H16" i="58" s="1"/>
  <c r="F16" i="58"/>
  <c r="J16" i="58"/>
  <c r="A17" i="58"/>
  <c r="B17" i="58"/>
  <c r="C17" i="58"/>
  <c r="F17" i="58"/>
  <c r="J17" i="58"/>
  <c r="A18" i="58"/>
  <c r="B18" i="58"/>
  <c r="C18" i="58"/>
  <c r="F18" i="58" s="1"/>
  <c r="J18" i="58"/>
  <c r="A19" i="58"/>
  <c r="B19" i="58"/>
  <c r="C19" i="58"/>
  <c r="F19" i="58"/>
  <c r="J19" i="58"/>
  <c r="A20" i="58"/>
  <c r="B20" i="58"/>
  <c r="F20" i="58" s="1"/>
  <c r="C20" i="58"/>
  <c r="J20" i="58"/>
  <c r="A21" i="58"/>
  <c r="B21" i="58"/>
  <c r="F21" i="58" s="1"/>
  <c r="C21" i="58"/>
  <c r="J21" i="58"/>
  <c r="A22" i="58"/>
  <c r="B22" i="58"/>
  <c r="C22" i="58"/>
  <c r="F22" i="58" s="1"/>
  <c r="J22" i="58"/>
  <c r="A23" i="58"/>
  <c r="B23" i="58"/>
  <c r="C23" i="58"/>
  <c r="J23" i="58"/>
  <c r="A24" i="58"/>
  <c r="B24" i="58"/>
  <c r="C24" i="58"/>
  <c r="F24" i="58"/>
  <c r="J24" i="58"/>
  <c r="A25" i="58"/>
  <c r="B25" i="58"/>
  <c r="C25" i="58"/>
  <c r="D25" i="58"/>
  <c r="G25" i="58" s="1"/>
  <c r="H25" i="58" s="1"/>
  <c r="F25" i="58"/>
  <c r="J25" i="58"/>
  <c r="A26" i="58"/>
  <c r="B26" i="58"/>
  <c r="C26" i="58"/>
  <c r="F26" i="58" s="1"/>
  <c r="J26" i="58"/>
  <c r="A27" i="58"/>
  <c r="B27" i="58"/>
  <c r="C27" i="58"/>
  <c r="F27" i="58"/>
  <c r="J27" i="58"/>
  <c r="A28" i="58"/>
  <c r="B28" i="58"/>
  <c r="C28" i="58"/>
  <c r="D28" i="58"/>
  <c r="F28" i="58"/>
  <c r="G28" i="58"/>
  <c r="H28" i="58" s="1"/>
  <c r="J28" i="58"/>
  <c r="A29" i="58"/>
  <c r="B29" i="58"/>
  <c r="C29" i="58"/>
  <c r="F29" i="58"/>
  <c r="J29" i="58"/>
  <c r="A30" i="58"/>
  <c r="B30" i="58"/>
  <c r="C30" i="58"/>
  <c r="F30" i="58" s="1"/>
  <c r="J30" i="58"/>
  <c r="A31" i="58"/>
  <c r="B31" i="58"/>
  <c r="F31" i="58" s="1"/>
  <c r="C31" i="58"/>
  <c r="J31" i="58"/>
  <c r="A32" i="58"/>
  <c r="B32" i="58"/>
  <c r="C32" i="58"/>
  <c r="F32" i="58" s="1"/>
  <c r="J32" i="58"/>
  <c r="A33" i="58"/>
  <c r="B33" i="58"/>
  <c r="F33" i="58" s="1"/>
  <c r="C33" i="58"/>
  <c r="J33" i="58"/>
  <c r="A34" i="58"/>
  <c r="B34" i="58"/>
  <c r="C34" i="58"/>
  <c r="F34" i="58" s="1"/>
  <c r="J34" i="58"/>
  <c r="A35" i="58"/>
  <c r="B35" i="58"/>
  <c r="C35" i="58"/>
  <c r="F35" i="58"/>
  <c r="J35" i="58"/>
  <c r="A36" i="58"/>
  <c r="B36" i="58"/>
  <c r="C36" i="58"/>
  <c r="J36" i="58"/>
  <c r="A37" i="58"/>
  <c r="B37" i="58"/>
  <c r="F37" i="58" s="1"/>
  <c r="C37" i="58"/>
  <c r="D37" i="58"/>
  <c r="G37" i="58" s="1"/>
  <c r="H37" i="58" s="1"/>
  <c r="J37" i="58"/>
  <c r="A38" i="58"/>
  <c r="B38" i="58"/>
  <c r="C38" i="58"/>
  <c r="F38" i="58" s="1"/>
  <c r="J38" i="58"/>
  <c r="A39" i="58"/>
  <c r="B39" i="58"/>
  <c r="C39" i="58"/>
  <c r="D39" i="58"/>
  <c r="F39" i="58"/>
  <c r="G39" i="58"/>
  <c r="H39" i="58"/>
  <c r="J39" i="58"/>
  <c r="A40" i="58"/>
  <c r="B40" i="58"/>
  <c r="F40" i="58" s="1"/>
  <c r="C40" i="58"/>
  <c r="J40" i="58"/>
  <c r="A41" i="58"/>
  <c r="B41" i="58"/>
  <c r="C41" i="58"/>
  <c r="D41" i="58"/>
  <c r="F41" i="58"/>
  <c r="G41" i="58"/>
  <c r="H41" i="58"/>
  <c r="J41" i="58"/>
  <c r="A42" i="58"/>
  <c r="B42" i="58"/>
  <c r="C42" i="58"/>
  <c r="F42" i="58" s="1"/>
  <c r="J42" i="58"/>
  <c r="A43" i="58"/>
  <c r="B43" i="58"/>
  <c r="F43" i="58" s="1"/>
  <c r="C43" i="58"/>
  <c r="J43" i="58"/>
  <c r="A44" i="58"/>
  <c r="B44" i="58"/>
  <c r="C44" i="58"/>
  <c r="F44" i="58" s="1"/>
  <c r="J44" i="58"/>
  <c r="A45" i="58"/>
  <c r="B45" i="58"/>
  <c r="F45" i="58" s="1"/>
  <c r="C45" i="58"/>
  <c r="J45" i="58"/>
  <c r="A46" i="58"/>
  <c r="B46" i="58"/>
  <c r="C46" i="58"/>
  <c r="F46" i="58" s="1"/>
  <c r="J46" i="58"/>
  <c r="A47" i="58"/>
  <c r="B47" i="58"/>
  <c r="C47" i="58"/>
  <c r="F47" i="58"/>
  <c r="J47" i="58"/>
  <c r="A48" i="58"/>
  <c r="B48" i="58"/>
  <c r="F48" i="58" s="1"/>
  <c r="C48" i="58"/>
  <c r="D48" i="58"/>
  <c r="G48" i="58"/>
  <c r="H48" i="58"/>
  <c r="J48" i="58"/>
  <c r="A49" i="58"/>
  <c r="B49" i="58"/>
  <c r="F49" i="58" s="1"/>
  <c r="C49" i="58"/>
  <c r="J49" i="58"/>
  <c r="A50" i="58"/>
  <c r="B50" i="58"/>
  <c r="C50" i="58"/>
  <c r="F50" i="58" s="1"/>
  <c r="J50" i="58"/>
  <c r="A51" i="58"/>
  <c r="B51" i="58"/>
  <c r="C51" i="58"/>
  <c r="F51" i="58"/>
  <c r="J51" i="58"/>
  <c r="A52" i="58"/>
  <c r="B52" i="58"/>
  <c r="C52" i="58"/>
  <c r="F52" i="58" s="1"/>
  <c r="J52" i="58"/>
  <c r="A53" i="58"/>
  <c r="B53" i="58"/>
  <c r="F53" i="58" s="1"/>
  <c r="C53" i="58"/>
  <c r="J53" i="58"/>
  <c r="A54" i="58"/>
  <c r="B54" i="58"/>
  <c r="C54" i="58"/>
  <c r="F54" i="58" s="1"/>
  <c r="J54" i="58"/>
  <c r="A55" i="58"/>
  <c r="B55" i="58"/>
  <c r="C55" i="58"/>
  <c r="F55" i="58" s="1"/>
  <c r="D55" i="58"/>
  <c r="G55" i="58"/>
  <c r="H55" i="58" s="1"/>
  <c r="J55" i="58"/>
  <c r="A56" i="58"/>
  <c r="B56" i="58"/>
  <c r="F56" i="58" s="1"/>
  <c r="C56" i="58"/>
  <c r="D56" i="58"/>
  <c r="G56" i="58"/>
  <c r="H56" i="58" s="1"/>
  <c r="J56" i="58"/>
  <c r="A57" i="58"/>
  <c r="B57" i="58"/>
  <c r="C57" i="58"/>
  <c r="F57" i="58"/>
  <c r="J57" i="58"/>
  <c r="A58" i="58"/>
  <c r="B58" i="58"/>
  <c r="C58" i="58"/>
  <c r="F58" i="58" s="1"/>
  <c r="D58" i="58"/>
  <c r="G58" i="58"/>
  <c r="H58" i="58"/>
  <c r="J58" i="58"/>
  <c r="B2" i="59"/>
  <c r="B3" i="59"/>
  <c r="H3" i="59"/>
  <c r="K3" i="59"/>
  <c r="C4" i="59"/>
  <c r="D6" i="59"/>
  <c r="E6" i="59"/>
  <c r="I7" i="59"/>
  <c r="J7" i="59"/>
  <c r="A9" i="59"/>
  <c r="B9" i="59"/>
  <c r="C9" i="59"/>
  <c r="D9" i="59"/>
  <c r="G9" i="59"/>
  <c r="H9" i="59" s="1"/>
  <c r="J9" i="59"/>
  <c r="A10" i="59"/>
  <c r="B10" i="59"/>
  <c r="C10" i="59"/>
  <c r="J10" i="59"/>
  <c r="A11" i="59"/>
  <c r="B11" i="59"/>
  <c r="F11" i="59" s="1"/>
  <c r="C11" i="59"/>
  <c r="J11" i="59"/>
  <c r="A12" i="59"/>
  <c r="B12" i="59"/>
  <c r="C12" i="59"/>
  <c r="D12" i="59"/>
  <c r="G12" i="59"/>
  <c r="H12" i="59"/>
  <c r="J12" i="59"/>
  <c r="A13" i="59"/>
  <c r="B13" i="59"/>
  <c r="C13" i="59"/>
  <c r="F13" i="59"/>
  <c r="J13" i="59"/>
  <c r="A14" i="59"/>
  <c r="B14" i="59"/>
  <c r="F14" i="59" s="1"/>
  <c r="C14" i="59"/>
  <c r="J14" i="59"/>
  <c r="A15" i="59"/>
  <c r="B15" i="59"/>
  <c r="F15" i="59" s="1"/>
  <c r="C15" i="59"/>
  <c r="J15" i="59"/>
  <c r="A16" i="59"/>
  <c r="B16" i="59"/>
  <c r="F16" i="59" s="1"/>
  <c r="C16" i="59"/>
  <c r="J16" i="59"/>
  <c r="A17" i="59"/>
  <c r="B17" i="59"/>
  <c r="F17" i="59" s="1"/>
  <c r="C17" i="59"/>
  <c r="D17" i="59"/>
  <c r="G17" i="59"/>
  <c r="H17" i="59" s="1"/>
  <c r="J17" i="59"/>
  <c r="A18" i="59"/>
  <c r="B18" i="59"/>
  <c r="C18" i="59"/>
  <c r="J18" i="59"/>
  <c r="A19" i="59"/>
  <c r="B19" i="59"/>
  <c r="C19" i="59"/>
  <c r="F19" i="59" s="1"/>
  <c r="J19" i="59"/>
  <c r="A20" i="59"/>
  <c r="B20" i="59"/>
  <c r="C20" i="59"/>
  <c r="J20" i="59"/>
  <c r="A21" i="59"/>
  <c r="B21" i="59"/>
  <c r="C21" i="59"/>
  <c r="D21" i="59"/>
  <c r="F21" i="59"/>
  <c r="G21" i="59"/>
  <c r="H21" i="59" s="1"/>
  <c r="J21" i="59"/>
  <c r="A22" i="59"/>
  <c r="B22" i="59"/>
  <c r="F22" i="59" s="1"/>
  <c r="C22" i="59"/>
  <c r="D22" i="59"/>
  <c r="G22" i="59" s="1"/>
  <c r="H22" i="59" s="1"/>
  <c r="J22" i="59"/>
  <c r="A23" i="59"/>
  <c r="B23" i="59"/>
  <c r="C23" i="59"/>
  <c r="F23" i="59"/>
  <c r="J23" i="59"/>
  <c r="A24" i="59"/>
  <c r="B24" i="59"/>
  <c r="C24" i="59"/>
  <c r="D24" i="59"/>
  <c r="G24" i="59"/>
  <c r="H24" i="59" s="1"/>
  <c r="J24" i="59"/>
  <c r="A25" i="59"/>
  <c r="B25" i="59"/>
  <c r="C25" i="59"/>
  <c r="D25" i="59"/>
  <c r="F25" i="59"/>
  <c r="G25" i="59"/>
  <c r="H25" i="59" s="1"/>
  <c r="J25" i="59"/>
  <c r="A26" i="59"/>
  <c r="B26" i="59"/>
  <c r="C26" i="59"/>
  <c r="J26" i="59"/>
  <c r="A27" i="59"/>
  <c r="B27" i="59"/>
  <c r="C27" i="59"/>
  <c r="F27" i="59"/>
  <c r="J27" i="59"/>
  <c r="A28" i="59"/>
  <c r="B28" i="59"/>
  <c r="F28" i="59" s="1"/>
  <c r="C28" i="59"/>
  <c r="J28" i="59"/>
  <c r="A29" i="59"/>
  <c r="B29" i="59"/>
  <c r="F29" i="59" s="1"/>
  <c r="C29" i="59"/>
  <c r="J29" i="59"/>
  <c r="A30" i="59"/>
  <c r="B30" i="59"/>
  <c r="F30" i="59" s="1"/>
  <c r="C30" i="59"/>
  <c r="J30" i="59"/>
  <c r="A31" i="59"/>
  <c r="B31" i="59"/>
  <c r="C31" i="59"/>
  <c r="F31" i="59" s="1"/>
  <c r="D31" i="59"/>
  <c r="G31" i="59"/>
  <c r="H31" i="59"/>
  <c r="J31" i="59"/>
  <c r="A32" i="59"/>
  <c r="B32" i="59"/>
  <c r="F32" i="59" s="1"/>
  <c r="C32" i="59"/>
  <c r="J32" i="59"/>
  <c r="A33" i="59"/>
  <c r="B33" i="59"/>
  <c r="C33" i="59"/>
  <c r="F33" i="59"/>
  <c r="J33" i="59"/>
  <c r="A34" i="59"/>
  <c r="B34" i="59"/>
  <c r="C34" i="59"/>
  <c r="J34" i="59"/>
  <c r="A35" i="59"/>
  <c r="B35" i="59"/>
  <c r="C35" i="59"/>
  <c r="D35" i="59"/>
  <c r="F35" i="59"/>
  <c r="G35" i="59"/>
  <c r="H35" i="59" s="1"/>
  <c r="J35" i="59"/>
  <c r="A36" i="59"/>
  <c r="B36" i="59"/>
  <c r="C36" i="59"/>
  <c r="J36" i="59"/>
  <c r="A37" i="59"/>
  <c r="B37" i="59"/>
  <c r="F37" i="59" s="1"/>
  <c r="C37" i="59"/>
  <c r="J37" i="59"/>
  <c r="A38" i="59"/>
  <c r="B38" i="59"/>
  <c r="F38" i="59" s="1"/>
  <c r="C38" i="59"/>
  <c r="J38" i="59"/>
  <c r="A39" i="59"/>
  <c r="B39" i="59"/>
  <c r="C39" i="59"/>
  <c r="F39" i="59"/>
  <c r="J39" i="59"/>
  <c r="A40" i="59"/>
  <c r="B40" i="59"/>
  <c r="F40" i="59" s="1"/>
  <c r="C40" i="59"/>
  <c r="J40" i="59"/>
  <c r="A41" i="59"/>
  <c r="B41" i="59"/>
  <c r="F41" i="59" s="1"/>
  <c r="C41" i="59"/>
  <c r="J41" i="59"/>
  <c r="A42" i="59"/>
  <c r="B42" i="59"/>
  <c r="F42" i="59" s="1"/>
  <c r="C42" i="59"/>
  <c r="J42" i="59"/>
  <c r="A43" i="59"/>
  <c r="B43" i="59"/>
  <c r="C43" i="59"/>
  <c r="J43" i="59"/>
  <c r="A44" i="59"/>
  <c r="B44" i="59"/>
  <c r="C44" i="59"/>
  <c r="F44" i="59"/>
  <c r="J44" i="59"/>
  <c r="A45" i="59"/>
  <c r="B45" i="59"/>
  <c r="C45" i="59"/>
  <c r="D45" i="59"/>
  <c r="F45" i="59"/>
  <c r="G45" i="59"/>
  <c r="H45" i="59" s="1"/>
  <c r="J45" i="59"/>
  <c r="A46" i="59"/>
  <c r="B46" i="59"/>
  <c r="F46" i="59" s="1"/>
  <c r="C46" i="59"/>
  <c r="J46" i="59"/>
  <c r="A47" i="59"/>
  <c r="B47" i="59"/>
  <c r="F47" i="59" s="1"/>
  <c r="C47" i="59"/>
  <c r="J47" i="59"/>
  <c r="A48" i="59"/>
  <c r="B48" i="59"/>
  <c r="C48" i="59"/>
  <c r="D48" i="59"/>
  <c r="F48" i="59"/>
  <c r="G48" i="59"/>
  <c r="H48" i="59" s="1"/>
  <c r="J48" i="59"/>
  <c r="A49" i="59"/>
  <c r="B49" i="59"/>
  <c r="C49" i="59"/>
  <c r="F49" i="59"/>
  <c r="J49" i="59"/>
  <c r="A50" i="59"/>
  <c r="B50" i="59"/>
  <c r="F50" i="59" s="1"/>
  <c r="C50" i="59"/>
  <c r="J50" i="59"/>
  <c r="A51" i="59"/>
  <c r="B51" i="59"/>
  <c r="C51" i="59"/>
  <c r="D51" i="59"/>
  <c r="G51" i="59" s="1"/>
  <c r="H51" i="59" s="1"/>
  <c r="F51" i="59"/>
  <c r="J51" i="59"/>
  <c r="A52" i="59"/>
  <c r="B52" i="59"/>
  <c r="C52" i="59"/>
  <c r="D52" i="59"/>
  <c r="F52" i="59"/>
  <c r="G52" i="59"/>
  <c r="H52" i="59"/>
  <c r="J52" i="59"/>
  <c r="A53" i="59"/>
  <c r="B53" i="59"/>
  <c r="C53" i="59"/>
  <c r="F53" i="59"/>
  <c r="J53" i="59"/>
  <c r="A54" i="59"/>
  <c r="B54" i="59"/>
  <c r="F54" i="59" s="1"/>
  <c r="C54" i="59"/>
  <c r="J54" i="59"/>
  <c r="A55" i="59"/>
  <c r="B55" i="59"/>
  <c r="C55" i="59"/>
  <c r="F55" i="59"/>
  <c r="J55" i="59"/>
  <c r="A56" i="59"/>
  <c r="B56" i="59"/>
  <c r="C56" i="59"/>
  <c r="J56" i="59"/>
  <c r="A57" i="59"/>
  <c r="B57" i="59"/>
  <c r="C57" i="59"/>
  <c r="F57" i="59"/>
  <c r="J57" i="59"/>
  <c r="A58" i="59"/>
  <c r="B58" i="59"/>
  <c r="C58" i="59"/>
  <c r="J58" i="59"/>
  <c r="B2" i="63"/>
  <c r="B3" i="63"/>
  <c r="H3" i="63"/>
  <c r="K3" i="63"/>
  <c r="C4" i="63"/>
  <c r="D6" i="63"/>
  <c r="E6" i="63"/>
  <c r="I7" i="63"/>
  <c r="J7" i="63"/>
  <c r="A9" i="63"/>
  <c r="B9" i="63"/>
  <c r="F9" i="63" s="1"/>
  <c r="C9" i="63"/>
  <c r="J9" i="63"/>
  <c r="A10" i="63"/>
  <c r="B10" i="63"/>
  <c r="C10" i="63"/>
  <c r="F10" i="63"/>
  <c r="J10" i="63"/>
  <c r="A11" i="63"/>
  <c r="B11" i="63"/>
  <c r="C11" i="63"/>
  <c r="F11" i="63"/>
  <c r="J11" i="63"/>
  <c r="A12" i="63"/>
  <c r="B12" i="63"/>
  <c r="F12" i="63" s="1"/>
  <c r="C12" i="63"/>
  <c r="J12" i="63"/>
  <c r="A13" i="63"/>
  <c r="B13" i="63"/>
  <c r="C13" i="63"/>
  <c r="F13" i="63"/>
  <c r="J13" i="63"/>
  <c r="A14" i="63"/>
  <c r="B14" i="63"/>
  <c r="C14" i="63"/>
  <c r="F14" i="63"/>
  <c r="J14" i="63"/>
  <c r="A15" i="63"/>
  <c r="B15" i="63"/>
  <c r="C15" i="63"/>
  <c r="F15" i="63"/>
  <c r="J15" i="63"/>
  <c r="A16" i="63"/>
  <c r="B16" i="63"/>
  <c r="F16" i="63" s="1"/>
  <c r="C16" i="63"/>
  <c r="J16" i="63"/>
  <c r="A17" i="63"/>
  <c r="B17" i="63"/>
  <c r="F17" i="63" s="1"/>
  <c r="C17" i="63"/>
  <c r="J17" i="63"/>
  <c r="A18" i="63"/>
  <c r="B18" i="63"/>
  <c r="C18" i="63"/>
  <c r="F18" i="63"/>
  <c r="J18" i="63"/>
  <c r="A19" i="63"/>
  <c r="B19" i="63"/>
  <c r="C19" i="63"/>
  <c r="F19" i="63"/>
  <c r="J19" i="63"/>
  <c r="A20" i="63"/>
  <c r="B20" i="63"/>
  <c r="C20" i="63"/>
  <c r="F20" i="63"/>
  <c r="J20" i="63"/>
  <c r="A21" i="63"/>
  <c r="B21" i="63"/>
  <c r="C21" i="63"/>
  <c r="D21" i="63"/>
  <c r="G21" i="63" s="1"/>
  <c r="H21" i="63" s="1"/>
  <c r="F21" i="63"/>
  <c r="J21" i="63"/>
  <c r="A22" i="63"/>
  <c r="B22" i="63"/>
  <c r="C22" i="63"/>
  <c r="F22" i="63"/>
  <c r="J22" i="63"/>
  <c r="A23" i="63"/>
  <c r="B23" i="63"/>
  <c r="C23" i="63"/>
  <c r="D23" i="63"/>
  <c r="F23" i="63"/>
  <c r="G23" i="63"/>
  <c r="H23" i="63"/>
  <c r="J23" i="63"/>
  <c r="A24" i="63"/>
  <c r="B24" i="63"/>
  <c r="F24" i="63" s="1"/>
  <c r="C24" i="63"/>
  <c r="J24" i="63"/>
  <c r="A25" i="63"/>
  <c r="B25" i="63"/>
  <c r="C25" i="63"/>
  <c r="F25" i="63"/>
  <c r="J25" i="63"/>
  <c r="A26" i="63"/>
  <c r="B26" i="63"/>
  <c r="C26" i="63"/>
  <c r="F26" i="63"/>
  <c r="J26" i="63"/>
  <c r="A27" i="63"/>
  <c r="B27" i="63"/>
  <c r="C27" i="63"/>
  <c r="F27" i="63"/>
  <c r="J27" i="63"/>
  <c r="A28" i="63"/>
  <c r="B28" i="63"/>
  <c r="C28" i="63"/>
  <c r="F28" i="63"/>
  <c r="J28" i="63"/>
  <c r="A29" i="63"/>
  <c r="B29" i="63"/>
  <c r="C29" i="63"/>
  <c r="D29" i="63"/>
  <c r="F29" i="63"/>
  <c r="G29" i="63"/>
  <c r="H29" i="63"/>
  <c r="J29" i="63"/>
  <c r="A30" i="63"/>
  <c r="B30" i="63"/>
  <c r="C30" i="63"/>
  <c r="F30" i="63"/>
  <c r="J30" i="63"/>
  <c r="A31" i="63"/>
  <c r="B31" i="63"/>
  <c r="C31" i="63"/>
  <c r="F31" i="63"/>
  <c r="J31" i="63"/>
  <c r="A32" i="63"/>
  <c r="B32" i="63"/>
  <c r="C32" i="63"/>
  <c r="F32" i="63"/>
  <c r="J32" i="63"/>
  <c r="A33" i="63"/>
  <c r="B33" i="63"/>
  <c r="C33" i="63"/>
  <c r="D33" i="63"/>
  <c r="G33" i="63" s="1"/>
  <c r="H33" i="63" s="1"/>
  <c r="J33" i="63"/>
  <c r="A34" i="63"/>
  <c r="B34" i="63"/>
  <c r="C34" i="63"/>
  <c r="F34" i="63" s="1"/>
  <c r="J34" i="63"/>
  <c r="A35" i="63"/>
  <c r="B35" i="63"/>
  <c r="C35" i="63"/>
  <c r="F35" i="63"/>
  <c r="J35" i="63"/>
  <c r="A36" i="63"/>
  <c r="B36" i="63"/>
  <c r="F36" i="63" s="1"/>
  <c r="C36" i="63"/>
  <c r="J36" i="63"/>
  <c r="A37" i="63"/>
  <c r="B37" i="63"/>
  <c r="C37" i="63"/>
  <c r="F37" i="63"/>
  <c r="J37" i="63"/>
  <c r="A38" i="63"/>
  <c r="B38" i="63"/>
  <c r="F38" i="63" s="1"/>
  <c r="C38" i="63"/>
  <c r="J38" i="63"/>
  <c r="A39" i="63"/>
  <c r="B39" i="63"/>
  <c r="C39" i="63"/>
  <c r="F39" i="63"/>
  <c r="J39" i="63"/>
  <c r="A40" i="63"/>
  <c r="B40" i="63"/>
  <c r="C40" i="63"/>
  <c r="F40" i="63"/>
  <c r="J40" i="63"/>
  <c r="A41" i="63"/>
  <c r="B41" i="63"/>
  <c r="C41" i="63"/>
  <c r="F41" i="63"/>
  <c r="J41" i="63"/>
  <c r="A42" i="63"/>
  <c r="B42" i="63"/>
  <c r="C42" i="63"/>
  <c r="J42" i="63"/>
  <c r="A43" i="63"/>
  <c r="B43" i="63"/>
  <c r="C43" i="63"/>
  <c r="F43" i="63" s="1"/>
  <c r="J43" i="63"/>
  <c r="A44" i="63"/>
  <c r="B44" i="63"/>
  <c r="F44" i="63" s="1"/>
  <c r="C44" i="63"/>
  <c r="J44" i="63"/>
  <c r="A45" i="63"/>
  <c r="B45" i="63"/>
  <c r="F45" i="63" s="1"/>
  <c r="C45" i="63"/>
  <c r="J45" i="63"/>
  <c r="A46" i="63"/>
  <c r="B46" i="63"/>
  <c r="C46" i="63"/>
  <c r="J46" i="63"/>
  <c r="A47" i="63"/>
  <c r="B47" i="63"/>
  <c r="F47" i="63" s="1"/>
  <c r="C47" i="63"/>
  <c r="J47" i="63"/>
  <c r="A48" i="63"/>
  <c r="B48" i="63"/>
  <c r="F48" i="63" s="1"/>
  <c r="C48" i="63"/>
  <c r="D48" i="63"/>
  <c r="G48" i="63"/>
  <c r="H48" i="63"/>
  <c r="J48" i="63"/>
  <c r="A49" i="63"/>
  <c r="B49" i="63"/>
  <c r="C49" i="63"/>
  <c r="F49" i="63"/>
  <c r="J49" i="63"/>
  <c r="A50" i="63"/>
  <c r="B50" i="63"/>
  <c r="C50" i="63"/>
  <c r="F50" i="63"/>
  <c r="J50" i="63"/>
  <c r="A51" i="63"/>
  <c r="B51" i="63"/>
  <c r="C51" i="63"/>
  <c r="F51" i="63"/>
  <c r="J51" i="63"/>
  <c r="A52" i="63"/>
  <c r="B52" i="63"/>
  <c r="C52" i="63"/>
  <c r="F52" i="63"/>
  <c r="J52" i="63"/>
  <c r="A53" i="63"/>
  <c r="B53" i="63"/>
  <c r="C53" i="63"/>
  <c r="F53" i="63"/>
  <c r="J53" i="63"/>
  <c r="A54" i="63"/>
  <c r="B54" i="63"/>
  <c r="C54" i="63"/>
  <c r="J54" i="63"/>
  <c r="A55" i="63"/>
  <c r="B55" i="63"/>
  <c r="C55" i="63"/>
  <c r="F55" i="63"/>
  <c r="J55" i="63"/>
  <c r="A56" i="63"/>
  <c r="B56" i="63"/>
  <c r="F56" i="63" s="1"/>
  <c r="C56" i="63"/>
  <c r="J56" i="63"/>
  <c r="A57" i="63"/>
  <c r="B57" i="63"/>
  <c r="C57" i="63"/>
  <c r="F57" i="63"/>
  <c r="J57" i="63"/>
  <c r="A58" i="63"/>
  <c r="B58" i="63"/>
  <c r="C58" i="63"/>
  <c r="D58" i="63"/>
  <c r="G58" i="63" s="1"/>
  <c r="H58" i="63" s="1"/>
  <c r="J58" i="63"/>
  <c r="B2" i="7"/>
  <c r="B3" i="7"/>
  <c r="H3" i="7"/>
  <c r="K3" i="7"/>
  <c r="C4" i="7"/>
  <c r="E6" i="7"/>
  <c r="I7" i="7"/>
  <c r="J7" i="7"/>
  <c r="A9" i="7"/>
  <c r="B9" i="7"/>
  <c r="C9" i="7"/>
  <c r="F9" i="7"/>
  <c r="J9" i="7"/>
  <c r="A10" i="7"/>
  <c r="B10" i="7"/>
  <c r="C10" i="7"/>
  <c r="F10" i="7"/>
  <c r="J10" i="7"/>
  <c r="A11" i="7"/>
  <c r="B11" i="7"/>
  <c r="F11" i="7" s="1"/>
  <c r="C11" i="7"/>
  <c r="J11" i="7"/>
  <c r="A12" i="7"/>
  <c r="B12" i="7"/>
  <c r="F12" i="7" s="1"/>
  <c r="C12" i="7"/>
  <c r="J12" i="7"/>
  <c r="A13" i="7"/>
  <c r="B13" i="7"/>
  <c r="C13" i="7"/>
  <c r="F13" i="7"/>
  <c r="J13" i="7"/>
  <c r="J59" i="7" s="1"/>
  <c r="A14" i="7"/>
  <c r="B14" i="7"/>
  <c r="F14" i="7" s="1"/>
  <c r="C14" i="7"/>
  <c r="J14" i="7"/>
  <c r="A15" i="7"/>
  <c r="B15" i="7"/>
  <c r="F15" i="7" s="1"/>
  <c r="C15" i="7"/>
  <c r="J15" i="7"/>
  <c r="A16" i="7"/>
  <c r="B16" i="7"/>
  <c r="C16" i="7"/>
  <c r="D16" i="7"/>
  <c r="F16" i="7"/>
  <c r="G16" i="7"/>
  <c r="H16" i="7" s="1"/>
  <c r="J16" i="7"/>
  <c r="A17" i="7"/>
  <c r="B17" i="7"/>
  <c r="C17" i="7"/>
  <c r="F17" i="7"/>
  <c r="J17" i="7"/>
  <c r="A18" i="7"/>
  <c r="B18" i="7"/>
  <c r="C18" i="7"/>
  <c r="F18" i="7"/>
  <c r="J18" i="7"/>
  <c r="A19" i="7"/>
  <c r="B19" i="7"/>
  <c r="F19" i="7" s="1"/>
  <c r="C19" i="7"/>
  <c r="J19" i="7"/>
  <c r="A20" i="7"/>
  <c r="B20" i="7"/>
  <c r="F20" i="7" s="1"/>
  <c r="C20" i="7"/>
  <c r="J20" i="7"/>
  <c r="A21" i="7"/>
  <c r="B21" i="7"/>
  <c r="F21" i="7" s="1"/>
  <c r="C21" i="7"/>
  <c r="J21" i="7"/>
  <c r="A22" i="7"/>
  <c r="B22" i="7"/>
  <c r="C22" i="7"/>
  <c r="F22" i="7"/>
  <c r="J22" i="7"/>
  <c r="A23" i="7"/>
  <c r="B23" i="7"/>
  <c r="F23" i="7" s="1"/>
  <c r="C23" i="7"/>
  <c r="D23" i="7"/>
  <c r="G23" i="7" s="1"/>
  <c r="H23" i="7" s="1"/>
  <c r="J23" i="7"/>
  <c r="A24" i="7"/>
  <c r="B24" i="7"/>
  <c r="F24" i="7" s="1"/>
  <c r="C24" i="7"/>
  <c r="J24" i="7"/>
  <c r="A25" i="7"/>
  <c r="B25" i="7"/>
  <c r="C25" i="7"/>
  <c r="F25" i="7"/>
  <c r="J25" i="7"/>
  <c r="A26" i="7"/>
  <c r="B26" i="7"/>
  <c r="C26" i="7"/>
  <c r="F26" i="7"/>
  <c r="J26" i="7"/>
  <c r="A27" i="7"/>
  <c r="B27" i="7"/>
  <c r="F27" i="7" s="1"/>
  <c r="C27" i="7"/>
  <c r="J27" i="7"/>
  <c r="A28" i="7"/>
  <c r="B28" i="7"/>
  <c r="C28" i="7"/>
  <c r="F28" i="7"/>
  <c r="J28" i="7"/>
  <c r="A29" i="7"/>
  <c r="B29" i="7"/>
  <c r="F29" i="7" s="1"/>
  <c r="C29" i="7"/>
  <c r="J29" i="7"/>
  <c r="A30" i="7"/>
  <c r="B30" i="7"/>
  <c r="F30" i="7" s="1"/>
  <c r="C30" i="7"/>
  <c r="J30" i="7"/>
  <c r="A31" i="7"/>
  <c r="B31" i="7"/>
  <c r="F31" i="7" s="1"/>
  <c r="C31" i="7"/>
  <c r="J31" i="7"/>
  <c r="A32" i="7"/>
  <c r="B32" i="7"/>
  <c r="F32" i="7" s="1"/>
  <c r="C32" i="7"/>
  <c r="D32" i="7"/>
  <c r="G32" i="7" s="1"/>
  <c r="H32" i="7" s="1"/>
  <c r="J32" i="7"/>
  <c r="A33" i="7"/>
  <c r="B33" i="7"/>
  <c r="C33" i="7"/>
  <c r="F33" i="7"/>
  <c r="J33" i="7"/>
  <c r="A34" i="7"/>
  <c r="B34" i="7"/>
  <c r="C34" i="7"/>
  <c r="D34" i="7"/>
  <c r="G34" i="7" s="1"/>
  <c r="H34" i="7" s="1"/>
  <c r="J34" i="7"/>
  <c r="A35" i="7"/>
  <c r="B35" i="7"/>
  <c r="F35" i="7" s="1"/>
  <c r="C35" i="7"/>
  <c r="J35" i="7"/>
  <c r="A36" i="7"/>
  <c r="B36" i="7"/>
  <c r="C36" i="7"/>
  <c r="F36" i="7"/>
  <c r="J36" i="7"/>
  <c r="A37" i="7"/>
  <c r="B37" i="7"/>
  <c r="C37" i="7"/>
  <c r="F37" i="7"/>
  <c r="J37" i="7"/>
  <c r="A38" i="7"/>
  <c r="B38" i="7"/>
  <c r="C38" i="7"/>
  <c r="D38" i="7"/>
  <c r="F38" i="7"/>
  <c r="G38" i="7"/>
  <c r="H38" i="7"/>
  <c r="J38" i="7"/>
  <c r="A39" i="7"/>
  <c r="B39" i="7"/>
  <c r="F39" i="7" s="1"/>
  <c r="C39" i="7"/>
  <c r="J39" i="7"/>
  <c r="A40" i="7"/>
  <c r="B40" i="7"/>
  <c r="C40" i="7"/>
  <c r="F40" i="7"/>
  <c r="J40" i="7"/>
  <c r="A41" i="7"/>
  <c r="B41" i="7"/>
  <c r="C41" i="7"/>
  <c r="F41" i="7" s="1"/>
  <c r="D41" i="7"/>
  <c r="G41" i="7" s="1"/>
  <c r="H41" i="7" s="1"/>
  <c r="J41" i="7"/>
  <c r="A42" i="7"/>
  <c r="B42" i="7"/>
  <c r="C42" i="7"/>
  <c r="J42" i="7"/>
  <c r="A43" i="7"/>
  <c r="B43" i="7"/>
  <c r="F43" i="7" s="1"/>
  <c r="C43" i="7"/>
  <c r="J43" i="7"/>
  <c r="A44" i="7"/>
  <c r="B44" i="7"/>
  <c r="F44" i="7" s="1"/>
  <c r="C44" i="7"/>
  <c r="D44" i="7"/>
  <c r="G44" i="7"/>
  <c r="H44" i="7" s="1"/>
  <c r="J44" i="7"/>
  <c r="A45" i="7"/>
  <c r="B45" i="7"/>
  <c r="F45" i="7" s="1"/>
  <c r="C45" i="7"/>
  <c r="J45" i="7"/>
  <c r="A46" i="7"/>
  <c r="B46" i="7"/>
  <c r="C46" i="7"/>
  <c r="F46" i="7"/>
  <c r="J46" i="7"/>
  <c r="A47" i="7"/>
  <c r="B47" i="7"/>
  <c r="F47" i="7" s="1"/>
  <c r="C47" i="7"/>
  <c r="J47" i="7"/>
  <c r="A48" i="7"/>
  <c r="B48" i="7"/>
  <c r="C48" i="7"/>
  <c r="J48" i="7"/>
  <c r="A49" i="7"/>
  <c r="B49" i="7"/>
  <c r="C49" i="7"/>
  <c r="F49" i="7"/>
  <c r="J49" i="7"/>
  <c r="A50" i="7"/>
  <c r="B50" i="7"/>
  <c r="F50" i="7" s="1"/>
  <c r="C50" i="7"/>
  <c r="J50" i="7"/>
  <c r="A51" i="7"/>
  <c r="B51" i="7"/>
  <c r="F51" i="7" s="1"/>
  <c r="C51" i="7"/>
  <c r="D51" i="7"/>
  <c r="G51" i="7"/>
  <c r="H51" i="7"/>
  <c r="J51" i="7"/>
  <c r="A52" i="7"/>
  <c r="B52" i="7"/>
  <c r="C52" i="7"/>
  <c r="J52" i="7"/>
  <c r="A53" i="7"/>
  <c r="B53" i="7"/>
  <c r="C53" i="7"/>
  <c r="F53" i="7"/>
  <c r="J53" i="7"/>
  <c r="A54" i="7"/>
  <c r="B54" i="7"/>
  <c r="C54" i="7"/>
  <c r="F54" i="7"/>
  <c r="J54" i="7"/>
  <c r="A55" i="7"/>
  <c r="B55" i="7"/>
  <c r="F55" i="7" s="1"/>
  <c r="C55" i="7"/>
  <c r="J55" i="7"/>
  <c r="A56" i="7"/>
  <c r="B56" i="7"/>
  <c r="C56" i="7"/>
  <c r="J56" i="7"/>
  <c r="A57" i="7"/>
  <c r="B57" i="7"/>
  <c r="F57" i="7" s="1"/>
  <c r="C57" i="7"/>
  <c r="J57" i="7"/>
  <c r="A58" i="7"/>
  <c r="B58" i="7"/>
  <c r="F58" i="7" s="1"/>
  <c r="C58" i="7"/>
  <c r="J58" i="7"/>
  <c r="Q53" i="2"/>
  <c r="R53" i="2" s="1"/>
  <c r="Q39" i="2"/>
  <c r="P31" i="2"/>
  <c r="Q31" i="2"/>
  <c r="U42" i="2"/>
  <c r="V42" i="2" s="1"/>
  <c r="G281" i="49"/>
  <c r="E29" i="2"/>
  <c r="F28" i="3"/>
  <c r="H27" i="2"/>
  <c r="J27" i="2"/>
  <c r="S27" i="2"/>
  <c r="F26" i="2"/>
  <c r="F23" i="3"/>
  <c r="F23" i="2"/>
  <c r="H23" i="2" s="1"/>
  <c r="J23" i="2" s="1"/>
  <c r="F22" i="2"/>
  <c r="F21" i="2"/>
  <c r="F20" i="2"/>
  <c r="H20" i="2"/>
  <c r="J20" i="2"/>
  <c r="D20" i="3"/>
  <c r="G20" i="3"/>
  <c r="H20" i="3" s="1"/>
  <c r="F19" i="2"/>
  <c r="N18" i="2"/>
  <c r="O18" i="2"/>
  <c r="S18" i="2"/>
  <c r="D18" i="3"/>
  <c r="G18" i="3" s="1"/>
  <c r="H18" i="3" s="1"/>
  <c r="T18" i="2"/>
  <c r="U18" i="2" s="1"/>
  <c r="H17" i="2"/>
  <c r="J17" i="2" s="1"/>
  <c r="E16" i="2"/>
  <c r="F16" i="3"/>
  <c r="H16" i="2"/>
  <c r="J16" i="2" s="1"/>
  <c r="F15" i="3"/>
  <c r="F15" i="2"/>
  <c r="E15" i="2"/>
  <c r="F12" i="3"/>
  <c r="F12" i="2"/>
  <c r="F11" i="2"/>
  <c r="H11" i="2"/>
  <c r="J11" i="2" s="1"/>
  <c r="E10" i="2"/>
  <c r="F9" i="3"/>
  <c r="F9" i="2"/>
  <c r="H9" i="2" s="1"/>
  <c r="J9" i="2" s="1"/>
  <c r="H26" i="2"/>
  <c r="J26" i="2" s="1"/>
  <c r="N23" i="2"/>
  <c r="S23" i="2"/>
  <c r="H22" i="2"/>
  <c r="J22" i="2"/>
  <c r="H21" i="2"/>
  <c r="J21" i="2" s="1"/>
  <c r="T20" i="2"/>
  <c r="O20" i="2"/>
  <c r="P20" i="2" s="1"/>
  <c r="U20" i="2"/>
  <c r="O14" i="2"/>
  <c r="D14" i="3"/>
  <c r="G14" i="3" s="1"/>
  <c r="H14" i="3" s="1"/>
  <c r="T14" i="2"/>
  <c r="H12" i="2"/>
  <c r="J12" i="2" s="1"/>
  <c r="N11" i="2"/>
  <c r="S11" i="2"/>
  <c r="S9" i="2"/>
  <c r="D26" i="3"/>
  <c r="G26" i="3"/>
  <c r="H26" i="3" s="1"/>
  <c r="P14" i="2"/>
  <c r="Q14" i="2"/>
  <c r="E12" i="49"/>
  <c r="E13" i="49"/>
  <c r="D12" i="3"/>
  <c r="G12" i="3"/>
  <c r="H12" i="3" s="1"/>
  <c r="N12" i="2"/>
  <c r="K12" i="49"/>
  <c r="T143" i="49"/>
  <c r="C12" i="49"/>
  <c r="G12" i="49"/>
  <c r="B12" i="49"/>
  <c r="G13" i="49"/>
  <c r="A144" i="49"/>
  <c r="Q144" i="49"/>
  <c r="C13" i="49"/>
  <c r="B13" i="49"/>
  <c r="D13" i="49"/>
  <c r="N13" i="49" s="1"/>
  <c r="M13" i="49"/>
  <c r="O13" i="49" s="1"/>
  <c r="J144" i="49"/>
  <c r="S144" i="49"/>
  <c r="R144" i="49"/>
  <c r="Q143" i="49"/>
  <c r="Q233" i="49" l="1"/>
  <c r="AC2" i="62"/>
  <c r="A234" i="49" s="1"/>
  <c r="F40" i="48"/>
  <c r="E40" i="48"/>
  <c r="H15" i="48"/>
  <c r="J15" i="48" s="1"/>
  <c r="F15" i="48"/>
  <c r="E15" i="48"/>
  <c r="S24" i="56"/>
  <c r="N24" i="56"/>
  <c r="F56" i="7"/>
  <c r="D27" i="3"/>
  <c r="G27" i="3" s="1"/>
  <c r="H27" i="3" s="1"/>
  <c r="O27" i="2"/>
  <c r="T27" i="2"/>
  <c r="N27" i="2"/>
  <c r="D32" i="63"/>
  <c r="G32" i="63" s="1"/>
  <c r="H32" i="63" s="1"/>
  <c r="T32" i="62"/>
  <c r="O32" i="62"/>
  <c r="Q20" i="2"/>
  <c r="R20" i="2" s="1"/>
  <c r="N50" i="57"/>
  <c r="S50" i="57"/>
  <c r="O21" i="56"/>
  <c r="T21" i="56"/>
  <c r="D21" i="58"/>
  <c r="G21" i="58" s="1"/>
  <c r="H21" i="58" s="1"/>
  <c r="V20" i="2"/>
  <c r="S27" i="57"/>
  <c r="N27" i="57"/>
  <c r="O21" i="2"/>
  <c r="T21" i="2"/>
  <c r="D21" i="3"/>
  <c r="G21" i="3" s="1"/>
  <c r="H21" i="3" s="1"/>
  <c r="U22" i="48"/>
  <c r="V22" i="48"/>
  <c r="W22" i="48" s="1"/>
  <c r="H45" i="62"/>
  <c r="J45" i="62" s="1"/>
  <c r="N45" i="62"/>
  <c r="O22" i="2"/>
  <c r="T22" i="2"/>
  <c r="N22" i="2"/>
  <c r="S22" i="2"/>
  <c r="D22" i="3"/>
  <c r="G22" i="3" s="1"/>
  <c r="H22" i="3" s="1"/>
  <c r="F33" i="63"/>
  <c r="B6" i="19"/>
  <c r="T19" i="48"/>
  <c r="D19" i="7"/>
  <c r="G19" i="7" s="1"/>
  <c r="H19" i="7" s="1"/>
  <c r="O19" i="48"/>
  <c r="N19" i="48"/>
  <c r="D16" i="3"/>
  <c r="G16" i="3" s="1"/>
  <c r="H16" i="3" s="1"/>
  <c r="O16" i="2"/>
  <c r="T16" i="2"/>
  <c r="D9" i="3"/>
  <c r="G9" i="3" s="1"/>
  <c r="H9" i="3" s="1"/>
  <c r="O9" i="2"/>
  <c r="T9" i="2"/>
  <c r="N9" i="2"/>
  <c r="R55" i="48"/>
  <c r="F32" i="19"/>
  <c r="U25" i="49"/>
  <c r="O49" i="62"/>
  <c r="T49" i="62"/>
  <c r="D49" i="63"/>
  <c r="G49" i="63" s="1"/>
  <c r="H49" i="63" s="1"/>
  <c r="U104" i="49"/>
  <c r="O44" i="62"/>
  <c r="T44" i="62"/>
  <c r="D44" i="63"/>
  <c r="G44" i="63" s="1"/>
  <c r="H44" i="63" s="1"/>
  <c r="Q12" i="49"/>
  <c r="F10" i="3"/>
  <c r="F25" i="19"/>
  <c r="N25" i="48"/>
  <c r="S25" i="48"/>
  <c r="U57" i="56"/>
  <c r="V57" i="56"/>
  <c r="H25" i="48"/>
  <c r="J25" i="48" s="1"/>
  <c r="E25" i="48"/>
  <c r="T34" i="56"/>
  <c r="O34" i="56"/>
  <c r="D34" i="58"/>
  <c r="G34" i="58" s="1"/>
  <c r="H34" i="58" s="1"/>
  <c r="H54" i="57"/>
  <c r="J54" i="57" s="1"/>
  <c r="E20" i="21"/>
  <c r="H20" i="21"/>
  <c r="J20" i="21" s="1"/>
  <c r="F20" i="21"/>
  <c r="T26" i="56"/>
  <c r="O26" i="56"/>
  <c r="D26" i="58"/>
  <c r="G26" i="58" s="1"/>
  <c r="H26" i="58" s="1"/>
  <c r="S26" i="56"/>
  <c r="N16" i="2"/>
  <c r="S16" i="2"/>
  <c r="F36" i="59"/>
  <c r="O10" i="62"/>
  <c r="T10" i="62"/>
  <c r="D10" i="63"/>
  <c r="G10" i="63" s="1"/>
  <c r="H10" i="63" s="1"/>
  <c r="H29" i="2"/>
  <c r="J29" i="2" s="1"/>
  <c r="N29" i="2"/>
  <c r="N32" i="62"/>
  <c r="S32" i="62"/>
  <c r="N40" i="56"/>
  <c r="S40" i="56"/>
  <c r="H40" i="56"/>
  <c r="J40" i="56" s="1"/>
  <c r="H28" i="2"/>
  <c r="J28" i="2" s="1"/>
  <c r="S28" i="2"/>
  <c r="H10" i="56"/>
  <c r="J10" i="56" s="1"/>
  <c r="E10" i="56"/>
  <c r="F10" i="56"/>
  <c r="E36" i="21"/>
  <c r="F36" i="21"/>
  <c r="H36" i="21" s="1"/>
  <c r="J36" i="21" s="1"/>
  <c r="D26" i="19"/>
  <c r="G26" i="19" s="1"/>
  <c r="H26" i="19" s="1"/>
  <c r="O26" i="21"/>
  <c r="T26" i="21"/>
  <c r="N26" i="2"/>
  <c r="S26" i="2"/>
  <c r="O26" i="2"/>
  <c r="T26" i="2"/>
  <c r="S51" i="62"/>
  <c r="S44" i="62"/>
  <c r="N44" i="62"/>
  <c r="S17" i="62"/>
  <c r="T17" i="62"/>
  <c r="N17" i="62"/>
  <c r="O17" i="62"/>
  <c r="D17" i="63"/>
  <c r="G17" i="63" s="1"/>
  <c r="H17" i="63" s="1"/>
  <c r="S29" i="2"/>
  <c r="Z53" i="2"/>
  <c r="AA53" i="2" s="1"/>
  <c r="U123" i="49"/>
  <c r="E24" i="56"/>
  <c r="H24" i="56"/>
  <c r="J24" i="56" s="1"/>
  <c r="H15" i="2"/>
  <c r="J15" i="2" s="1"/>
  <c r="S15" i="2"/>
  <c r="N15" i="2"/>
  <c r="F13" i="49"/>
  <c r="F42" i="7"/>
  <c r="E25" i="2"/>
  <c r="F25" i="2"/>
  <c r="H25" i="2"/>
  <c r="J25" i="2" s="1"/>
  <c r="T39" i="57"/>
  <c r="S39" i="57"/>
  <c r="D39" i="59"/>
  <c r="G39" i="59" s="1"/>
  <c r="H39" i="59" s="1"/>
  <c r="O39" i="57"/>
  <c r="O22" i="48"/>
  <c r="N22" i="48"/>
  <c r="D22" i="7"/>
  <c r="G22" i="7" s="1"/>
  <c r="H22" i="7" s="1"/>
  <c r="N49" i="62"/>
  <c r="S49" i="62"/>
  <c r="P32" i="21"/>
  <c r="Q32" i="21" s="1"/>
  <c r="R32" i="21" s="1"/>
  <c r="Z32" i="21" s="1"/>
  <c r="AA32" i="21" s="1"/>
  <c r="U76" i="49"/>
  <c r="U32" i="21"/>
  <c r="V32" i="21"/>
  <c r="W32" i="21" s="1"/>
  <c r="U75" i="49"/>
  <c r="O17" i="2"/>
  <c r="T17" i="2"/>
  <c r="D17" i="3"/>
  <c r="G17" i="3" s="1"/>
  <c r="H17" i="3" s="1"/>
  <c r="W42" i="2"/>
  <c r="B6" i="58"/>
  <c r="O53" i="56"/>
  <c r="D53" i="58"/>
  <c r="G53" i="58" s="1"/>
  <c r="H53" i="58" s="1"/>
  <c r="S53" i="56"/>
  <c r="T53" i="56"/>
  <c r="O27" i="48"/>
  <c r="D27" i="7"/>
  <c r="G27" i="7" s="1"/>
  <c r="H27" i="7" s="1"/>
  <c r="S27" i="48"/>
  <c r="T27" i="48"/>
  <c r="N27" i="48"/>
  <c r="V28" i="56"/>
  <c r="F54" i="63"/>
  <c r="T56" i="62"/>
  <c r="D56" i="63"/>
  <c r="G56" i="63" s="1"/>
  <c r="H56" i="63" s="1"/>
  <c r="O56" i="62"/>
  <c r="O27" i="62"/>
  <c r="D27" i="63"/>
  <c r="G27" i="63" s="1"/>
  <c r="H27" i="63" s="1"/>
  <c r="T27" i="62"/>
  <c r="S27" i="62"/>
  <c r="F39" i="3"/>
  <c r="V32" i="48"/>
  <c r="H19" i="2"/>
  <c r="J19" i="2" s="1"/>
  <c r="N19" i="2" s="1"/>
  <c r="N56" i="62"/>
  <c r="N37" i="57"/>
  <c r="S37" i="57"/>
  <c r="F15" i="57"/>
  <c r="H15" i="57"/>
  <c r="J15" i="57" s="1"/>
  <c r="E15" i="57"/>
  <c r="D32" i="19"/>
  <c r="G32" i="19" s="1"/>
  <c r="H32" i="19" s="1"/>
  <c r="S17" i="2"/>
  <c r="N17" i="2"/>
  <c r="F34" i="7"/>
  <c r="J59" i="63"/>
  <c r="J59" i="58"/>
  <c r="F51" i="19"/>
  <c r="E52" i="56"/>
  <c r="F52" i="56"/>
  <c r="E30" i="2"/>
  <c r="F30" i="2"/>
  <c r="F52" i="7"/>
  <c r="F45" i="19"/>
  <c r="T55" i="48"/>
  <c r="D55" i="7"/>
  <c r="G55" i="7" s="1"/>
  <c r="H55" i="7" s="1"/>
  <c r="T55" i="57"/>
  <c r="S55" i="57"/>
  <c r="D55" i="59"/>
  <c r="G55" i="59" s="1"/>
  <c r="H55" i="59" s="1"/>
  <c r="F14" i="2"/>
  <c r="F37" i="19"/>
  <c r="N20" i="48"/>
  <c r="T20" i="48"/>
  <c r="O20" i="48"/>
  <c r="S20" i="48"/>
  <c r="D20" i="7"/>
  <c r="G20" i="7" s="1"/>
  <c r="H20" i="7" s="1"/>
  <c r="B6" i="7"/>
  <c r="E48" i="48"/>
  <c r="F48" i="48"/>
  <c r="H48" i="48" s="1"/>
  <c r="J48" i="48" s="1"/>
  <c r="S38" i="62"/>
  <c r="E49" i="57"/>
  <c r="F49" i="57"/>
  <c r="T42" i="56"/>
  <c r="D42" i="58"/>
  <c r="G42" i="58" s="1"/>
  <c r="H42" i="58" s="1"/>
  <c r="O42" i="56"/>
  <c r="H54" i="48"/>
  <c r="J54" i="48" s="1"/>
  <c r="N54" i="48"/>
  <c r="S54" i="48"/>
  <c r="E37" i="48"/>
  <c r="F37" i="48"/>
  <c r="H37" i="48"/>
  <c r="J37" i="48" s="1"/>
  <c r="S35" i="56"/>
  <c r="H35" i="56"/>
  <c r="J35" i="56" s="1"/>
  <c r="U98" i="49"/>
  <c r="D11" i="63"/>
  <c r="G11" i="63" s="1"/>
  <c r="H11" i="63" s="1"/>
  <c r="T11" i="62"/>
  <c r="N11" i="62"/>
  <c r="O11" i="62"/>
  <c r="S11" i="62"/>
  <c r="S42" i="56"/>
  <c r="N42" i="56"/>
  <c r="O57" i="21"/>
  <c r="T57" i="21"/>
  <c r="D57" i="19"/>
  <c r="G57" i="19" s="1"/>
  <c r="H57" i="19" s="1"/>
  <c r="E24" i="2"/>
  <c r="F24" i="2"/>
  <c r="H24" i="2" s="1"/>
  <c r="J24" i="2" s="1"/>
  <c r="T12" i="2"/>
  <c r="O12" i="2"/>
  <c r="S12" i="2"/>
  <c r="Q18" i="2"/>
  <c r="R18" i="2" s="1"/>
  <c r="Z18" i="2" s="1"/>
  <c r="AA18" i="2" s="1"/>
  <c r="P18" i="2"/>
  <c r="N46" i="48"/>
  <c r="H10" i="2"/>
  <c r="J10" i="2" s="1"/>
  <c r="N10" i="2" s="1"/>
  <c r="U93" i="49"/>
  <c r="E37" i="57"/>
  <c r="H37" i="57"/>
  <c r="J37" i="57" s="1"/>
  <c r="S34" i="56"/>
  <c r="N32" i="21"/>
  <c r="S32" i="21"/>
  <c r="H33" i="2"/>
  <c r="J33" i="2" s="1"/>
  <c r="N33" i="2"/>
  <c r="T30" i="48"/>
  <c r="D30" i="7"/>
  <c r="G30" i="7" s="1"/>
  <c r="H30" i="7" s="1"/>
  <c r="N30" i="48"/>
  <c r="O30" i="48"/>
  <c r="F48" i="7"/>
  <c r="F58" i="63"/>
  <c r="S35" i="48"/>
  <c r="N35" i="48"/>
  <c r="H18" i="48"/>
  <c r="J18" i="48" s="1"/>
  <c r="D35" i="63"/>
  <c r="G35" i="63" s="1"/>
  <c r="H35" i="63" s="1"/>
  <c r="O35" i="62"/>
  <c r="T35" i="62"/>
  <c r="T38" i="21"/>
  <c r="D38" i="19"/>
  <c r="G38" i="19" s="1"/>
  <c r="H38" i="19" s="1"/>
  <c r="O38" i="21"/>
  <c r="F58" i="59"/>
  <c r="N28" i="62"/>
  <c r="S28" i="62"/>
  <c r="V34" i="48"/>
  <c r="W34" i="48" s="1"/>
  <c r="D11" i="3"/>
  <c r="G11" i="3" s="1"/>
  <c r="H11" i="3" s="1"/>
  <c r="O11" i="2"/>
  <c r="T11" i="2"/>
  <c r="H28" i="62"/>
  <c r="J28" i="62" s="1"/>
  <c r="E54" i="56"/>
  <c r="F54" i="56"/>
  <c r="H54" i="56" s="1"/>
  <c r="J54" i="56" s="1"/>
  <c r="T55" i="2"/>
  <c r="O55" i="2"/>
  <c r="S55" i="2"/>
  <c r="D55" i="3"/>
  <c r="G55" i="3" s="1"/>
  <c r="H55" i="3" s="1"/>
  <c r="D12" i="49"/>
  <c r="U14" i="2"/>
  <c r="V14" i="2"/>
  <c r="F21" i="19"/>
  <c r="F13" i="21"/>
  <c r="H13" i="21"/>
  <c r="J13" i="21" s="1"/>
  <c r="F9" i="59"/>
  <c r="F27" i="19"/>
  <c r="H54" i="62"/>
  <c r="J54" i="62" s="1"/>
  <c r="N54" i="62"/>
  <c r="S54" i="62"/>
  <c r="O21" i="62"/>
  <c r="T21" i="62"/>
  <c r="F24" i="59"/>
  <c r="F11" i="3"/>
  <c r="T38" i="57"/>
  <c r="N38" i="57"/>
  <c r="O38" i="57"/>
  <c r="F27" i="56"/>
  <c r="H27" i="56"/>
  <c r="J27" i="56" s="1"/>
  <c r="E27" i="56"/>
  <c r="V43" i="21"/>
  <c r="U43" i="21"/>
  <c r="F13" i="2"/>
  <c r="H13" i="2"/>
  <c r="J13" i="2" s="1"/>
  <c r="N49" i="48"/>
  <c r="O49" i="48"/>
  <c r="D49" i="7"/>
  <c r="G49" i="7" s="1"/>
  <c r="H49" i="7" s="1"/>
  <c r="S49" i="48"/>
  <c r="T49" i="48"/>
  <c r="S22" i="62"/>
  <c r="V42" i="62"/>
  <c r="W42" i="62" s="1"/>
  <c r="U42" i="62"/>
  <c r="S19" i="48"/>
  <c r="E57" i="57"/>
  <c r="F57" i="57"/>
  <c r="H57" i="57" s="1"/>
  <c r="J57" i="57" s="1"/>
  <c r="T23" i="57"/>
  <c r="D23" i="59"/>
  <c r="G23" i="59" s="1"/>
  <c r="H23" i="59" s="1"/>
  <c r="N23" i="57"/>
  <c r="O23" i="57"/>
  <c r="S23" i="57"/>
  <c r="T51" i="56"/>
  <c r="D51" i="58"/>
  <c r="G51" i="58" s="1"/>
  <c r="H51" i="58" s="1"/>
  <c r="O51" i="56"/>
  <c r="U39" i="2"/>
  <c r="V39" i="2"/>
  <c r="W39" i="2" s="1"/>
  <c r="F10" i="59"/>
  <c r="F42" i="3"/>
  <c r="S53" i="48"/>
  <c r="F47" i="48"/>
  <c r="H47" i="48"/>
  <c r="J47" i="48" s="1"/>
  <c r="E42" i="48"/>
  <c r="F42" i="48"/>
  <c r="H42" i="48" s="1"/>
  <c r="J42" i="48" s="1"/>
  <c r="E31" i="62"/>
  <c r="F31" i="62"/>
  <c r="H31" i="62"/>
  <c r="J31" i="62" s="1"/>
  <c r="T46" i="57"/>
  <c r="O46" i="57"/>
  <c r="D46" i="59"/>
  <c r="G46" i="59" s="1"/>
  <c r="H46" i="59" s="1"/>
  <c r="T42" i="57"/>
  <c r="D42" i="59"/>
  <c r="G42" i="59" s="1"/>
  <c r="H42" i="59" s="1"/>
  <c r="O42" i="57"/>
  <c r="H41" i="21"/>
  <c r="J41" i="21" s="1"/>
  <c r="T14" i="62"/>
  <c r="O14" i="62"/>
  <c r="D14" i="63"/>
  <c r="G14" i="63" s="1"/>
  <c r="H14" i="63" s="1"/>
  <c r="H47" i="57"/>
  <c r="J47" i="57" s="1"/>
  <c r="N47" i="57"/>
  <c r="F30" i="57"/>
  <c r="H38" i="56"/>
  <c r="J38" i="56" s="1"/>
  <c r="P12" i="56"/>
  <c r="Q12" i="56"/>
  <c r="R12" i="56" s="1"/>
  <c r="Z12" i="56" s="1"/>
  <c r="AA12" i="56" s="1"/>
  <c r="N26" i="21"/>
  <c r="S26" i="21"/>
  <c r="V18" i="2"/>
  <c r="W18" i="2" s="1"/>
  <c r="V19" i="62"/>
  <c r="T51" i="57"/>
  <c r="O51" i="57"/>
  <c r="F56" i="21"/>
  <c r="S21" i="2"/>
  <c r="N21" i="2"/>
  <c r="D38" i="59"/>
  <c r="G38" i="59" s="1"/>
  <c r="H38" i="59" s="1"/>
  <c r="J59" i="59"/>
  <c r="H33" i="48"/>
  <c r="J33" i="48" s="1"/>
  <c r="N33" i="48" s="1"/>
  <c r="Q41" i="62"/>
  <c r="R41" i="62" s="1"/>
  <c r="U56" i="56"/>
  <c r="V56" i="56"/>
  <c r="W56" i="56" s="1"/>
  <c r="Z56" i="56" s="1"/>
  <c r="AA56" i="56" s="1"/>
  <c r="E17" i="56"/>
  <c r="F17" i="56"/>
  <c r="H17" i="56"/>
  <c r="J17" i="56" s="1"/>
  <c r="F52" i="62"/>
  <c r="H52" i="62" s="1"/>
  <c r="J52" i="62" s="1"/>
  <c r="B6" i="63"/>
  <c r="F35" i="19"/>
  <c r="E46" i="62"/>
  <c r="F46" i="62"/>
  <c r="H46" i="62"/>
  <c r="J46" i="62" s="1"/>
  <c r="N46" i="57"/>
  <c r="S46" i="57"/>
  <c r="S42" i="57"/>
  <c r="D50" i="58"/>
  <c r="G50" i="58" s="1"/>
  <c r="H50" i="58" s="1"/>
  <c r="N50" i="56"/>
  <c r="O50" i="56"/>
  <c r="T50" i="56"/>
  <c r="O40" i="21"/>
  <c r="T40" i="21"/>
  <c r="F31" i="3"/>
  <c r="T53" i="48"/>
  <c r="O53" i="48"/>
  <c r="D53" i="7"/>
  <c r="G53" i="7" s="1"/>
  <c r="H53" i="7" s="1"/>
  <c r="O57" i="56"/>
  <c r="S57" i="56"/>
  <c r="E49" i="21"/>
  <c r="H49" i="21"/>
  <c r="J49" i="21" s="1"/>
  <c r="D57" i="58"/>
  <c r="G57" i="58" s="1"/>
  <c r="H57" i="58" s="1"/>
  <c r="T23" i="2"/>
  <c r="O23" i="2"/>
  <c r="D23" i="3"/>
  <c r="G23" i="3" s="1"/>
  <c r="H23" i="3" s="1"/>
  <c r="S52" i="48"/>
  <c r="H52" i="48"/>
  <c r="J52" i="48" s="1"/>
  <c r="N52" i="48"/>
  <c r="S51" i="57"/>
  <c r="S48" i="21"/>
  <c r="S17" i="21"/>
  <c r="P10" i="21"/>
  <c r="Q10" i="21"/>
  <c r="R10" i="21" s="1"/>
  <c r="J59" i="19"/>
  <c r="H25" i="21"/>
  <c r="J25" i="21" s="1"/>
  <c r="N25" i="21" s="1"/>
  <c r="R31" i="2"/>
  <c r="F26" i="59"/>
  <c r="F58" i="3"/>
  <c r="U85" i="49"/>
  <c r="T57" i="48"/>
  <c r="O57" i="48"/>
  <c r="S57" i="48"/>
  <c r="D57" i="7"/>
  <c r="G57" i="7" s="1"/>
  <c r="H57" i="7" s="1"/>
  <c r="H46" i="48"/>
  <c r="J46" i="48" s="1"/>
  <c r="E46" i="48"/>
  <c r="P29" i="62"/>
  <c r="Q29" i="62"/>
  <c r="R29" i="62" s="1"/>
  <c r="F16" i="57"/>
  <c r="H16" i="57" s="1"/>
  <c r="J16" i="57" s="1"/>
  <c r="N10" i="57"/>
  <c r="S10" i="57"/>
  <c r="S20" i="2"/>
  <c r="B6" i="59"/>
  <c r="F28" i="19"/>
  <c r="F39" i="48"/>
  <c r="E39" i="48"/>
  <c r="T41" i="62"/>
  <c r="D41" i="63"/>
  <c r="G41" i="63" s="1"/>
  <c r="H41" i="63" s="1"/>
  <c r="N20" i="2"/>
  <c r="F17" i="19"/>
  <c r="F25" i="3"/>
  <c r="H50" i="57"/>
  <c r="J50" i="57" s="1"/>
  <c r="F11" i="57"/>
  <c r="H11" i="57"/>
  <c r="J11" i="57" s="1"/>
  <c r="E11" i="57"/>
  <c r="N40" i="21"/>
  <c r="S40" i="21"/>
  <c r="O45" i="48"/>
  <c r="T45" i="48"/>
  <c r="S35" i="62"/>
  <c r="N35" i="62"/>
  <c r="F24" i="62"/>
  <c r="H24" i="62" s="1"/>
  <c r="J24" i="62" s="1"/>
  <c r="E14" i="57"/>
  <c r="F14" i="57"/>
  <c r="H14" i="57"/>
  <c r="J14" i="57" s="1"/>
  <c r="W37" i="56"/>
  <c r="H31" i="56"/>
  <c r="J31" i="56" s="1"/>
  <c r="N31" i="56"/>
  <c r="T10" i="21"/>
  <c r="D10" i="19"/>
  <c r="G10" i="19" s="1"/>
  <c r="H10" i="19" s="1"/>
  <c r="U53" i="2"/>
  <c r="V53" i="2"/>
  <c r="W53" i="2" s="1"/>
  <c r="N55" i="48"/>
  <c r="F50" i="48"/>
  <c r="T9" i="57"/>
  <c r="O9" i="57"/>
  <c r="E19" i="56"/>
  <c r="H19" i="56"/>
  <c r="J19" i="56" s="1"/>
  <c r="S38" i="21"/>
  <c r="N38" i="21"/>
  <c r="N16" i="21"/>
  <c r="S16" i="21"/>
  <c r="V32" i="2"/>
  <c r="W32" i="2" s="1"/>
  <c r="F42" i="63"/>
  <c r="S45" i="48"/>
  <c r="N45" i="48"/>
  <c r="D19" i="63"/>
  <c r="G19" i="63" s="1"/>
  <c r="H19" i="63" s="1"/>
  <c r="U18" i="56"/>
  <c r="V18" i="56"/>
  <c r="F31" i="21"/>
  <c r="H31" i="21" s="1"/>
  <c r="J31" i="21" s="1"/>
  <c r="F23" i="58"/>
  <c r="E13" i="62"/>
  <c r="F13" i="62"/>
  <c r="F44" i="57"/>
  <c r="H44" i="57" s="1"/>
  <c r="J44" i="57" s="1"/>
  <c r="H20" i="57"/>
  <c r="J20" i="57" s="1"/>
  <c r="H16" i="21"/>
  <c r="J16" i="21" s="1"/>
  <c r="C144" i="49"/>
  <c r="E34" i="62"/>
  <c r="F34" i="62"/>
  <c r="H34" i="62"/>
  <c r="J34" i="62" s="1"/>
  <c r="S19" i="62"/>
  <c r="T13" i="57"/>
  <c r="O18" i="56"/>
  <c r="D18" i="58"/>
  <c r="G18" i="58" s="1"/>
  <c r="H18" i="58" s="1"/>
  <c r="S18" i="56"/>
  <c r="S22" i="48"/>
  <c r="F39" i="62"/>
  <c r="H39" i="62" s="1"/>
  <c r="J39" i="62" s="1"/>
  <c r="E39" i="62"/>
  <c r="O15" i="21"/>
  <c r="T15" i="21"/>
  <c r="N15" i="21"/>
  <c r="S15" i="21"/>
  <c r="D45" i="7"/>
  <c r="G45" i="7" s="1"/>
  <c r="H45" i="7" s="1"/>
  <c r="F47" i="19"/>
  <c r="E58" i="48"/>
  <c r="F58" i="48"/>
  <c r="H58" i="48"/>
  <c r="J58" i="48" s="1"/>
  <c r="Q48" i="62"/>
  <c r="R48" i="62" s="1"/>
  <c r="O33" i="62"/>
  <c r="T33" i="62"/>
  <c r="N33" i="62"/>
  <c r="N13" i="57"/>
  <c r="O13" i="57"/>
  <c r="D13" i="59"/>
  <c r="G13" i="59" s="1"/>
  <c r="H13" i="59" s="1"/>
  <c r="T50" i="21"/>
  <c r="S50" i="21"/>
  <c r="O50" i="21"/>
  <c r="D50" i="19"/>
  <c r="G50" i="19" s="1"/>
  <c r="H50" i="19" s="1"/>
  <c r="O43" i="21"/>
  <c r="D43" i="19"/>
  <c r="G43" i="19" s="1"/>
  <c r="H43" i="19" s="1"/>
  <c r="S22" i="21"/>
  <c r="H22" i="21"/>
  <c r="J22" i="21" s="1"/>
  <c r="N22" i="21" s="1"/>
  <c r="O9" i="21"/>
  <c r="T9" i="21"/>
  <c r="S9" i="21"/>
  <c r="T48" i="62"/>
  <c r="N48" i="62"/>
  <c r="T28" i="57"/>
  <c r="O28" i="57"/>
  <c r="D28" i="59"/>
  <c r="G28" i="59" s="1"/>
  <c r="H28" i="59" s="1"/>
  <c r="U12" i="56"/>
  <c r="V12" i="56"/>
  <c r="W12" i="56" s="1"/>
  <c r="F20" i="59"/>
  <c r="F41" i="19"/>
  <c r="F11" i="19"/>
  <c r="H9" i="62"/>
  <c r="J9" i="62" s="1"/>
  <c r="H10" i="57"/>
  <c r="J10" i="57" s="1"/>
  <c r="E40" i="2"/>
  <c r="F40" i="2"/>
  <c r="H40" i="2"/>
  <c r="J40" i="2" s="1"/>
  <c r="F43" i="59"/>
  <c r="J59" i="3"/>
  <c r="H21" i="48"/>
  <c r="J21" i="48" s="1"/>
  <c r="H51" i="62"/>
  <c r="J51" i="62" s="1"/>
  <c r="N51" i="62" s="1"/>
  <c r="E51" i="62"/>
  <c r="P42" i="62"/>
  <c r="Q42" i="62" s="1"/>
  <c r="R42" i="62" s="1"/>
  <c r="Z42" i="62" s="1"/>
  <c r="AA42" i="62" s="1"/>
  <c r="H38" i="62"/>
  <c r="J38" i="62" s="1"/>
  <c r="H22" i="62"/>
  <c r="J22" i="62" s="1"/>
  <c r="Q22" i="57"/>
  <c r="R22" i="57" s="1"/>
  <c r="H44" i="56"/>
  <c r="J44" i="56" s="1"/>
  <c r="S44" i="56" s="1"/>
  <c r="O28" i="56"/>
  <c r="E52" i="21"/>
  <c r="F52" i="21"/>
  <c r="Q21" i="21"/>
  <c r="R21" i="21" s="1"/>
  <c r="H45" i="2"/>
  <c r="J45" i="2" s="1"/>
  <c r="F46" i="63"/>
  <c r="F55" i="19"/>
  <c r="F9" i="19"/>
  <c r="H17" i="48"/>
  <c r="J17" i="48" s="1"/>
  <c r="E17" i="48"/>
  <c r="N42" i="62"/>
  <c r="H36" i="57"/>
  <c r="J36" i="57" s="1"/>
  <c r="N57" i="21"/>
  <c r="S57" i="21"/>
  <c r="N52" i="2"/>
  <c r="S52" i="2"/>
  <c r="E26" i="62"/>
  <c r="F26" i="62"/>
  <c r="T31" i="57"/>
  <c r="O31" i="57"/>
  <c r="O22" i="56"/>
  <c r="T22" i="56"/>
  <c r="D22" i="58"/>
  <c r="G22" i="58" s="1"/>
  <c r="H22" i="58" s="1"/>
  <c r="E27" i="21"/>
  <c r="F27" i="21"/>
  <c r="T21" i="21"/>
  <c r="F18" i="59"/>
  <c r="B6" i="3"/>
  <c r="O16" i="48"/>
  <c r="N16" i="48"/>
  <c r="S16" i="48"/>
  <c r="T16" i="48"/>
  <c r="S21" i="62"/>
  <c r="N21" i="62"/>
  <c r="F36" i="58"/>
  <c r="F49" i="19"/>
  <c r="Q34" i="48"/>
  <c r="N24" i="48"/>
  <c r="F16" i="62"/>
  <c r="S31" i="57"/>
  <c r="O14" i="21"/>
  <c r="N14" i="21"/>
  <c r="D14" i="19"/>
  <c r="G14" i="19" s="1"/>
  <c r="H14" i="19" s="1"/>
  <c r="O44" i="48"/>
  <c r="T44" i="48"/>
  <c r="F31" i="48"/>
  <c r="H31" i="48" s="1"/>
  <c r="J31" i="48" s="1"/>
  <c r="E26" i="57"/>
  <c r="F26" i="57"/>
  <c r="H26" i="57"/>
  <c r="J26" i="57" s="1"/>
  <c r="E33" i="56"/>
  <c r="H33" i="56"/>
  <c r="J33" i="56" s="1"/>
  <c r="F33" i="56"/>
  <c r="F56" i="59"/>
  <c r="O58" i="62"/>
  <c r="T58" i="62"/>
  <c r="N58" i="62"/>
  <c r="W29" i="62"/>
  <c r="H40" i="57"/>
  <c r="J40" i="57" s="1"/>
  <c r="O35" i="57"/>
  <c r="T35" i="57"/>
  <c r="N48" i="56"/>
  <c r="O48" i="56"/>
  <c r="T48" i="56"/>
  <c r="U23" i="48"/>
  <c r="V23" i="48" s="1"/>
  <c r="W23" i="48" s="1"/>
  <c r="H37" i="62"/>
  <c r="J37" i="62" s="1"/>
  <c r="E47" i="56"/>
  <c r="F47" i="56"/>
  <c r="H47" i="56"/>
  <c r="J47" i="56" s="1"/>
  <c r="P18" i="21"/>
  <c r="Q18" i="21"/>
  <c r="E52" i="2"/>
  <c r="H52" i="2"/>
  <c r="J52" i="2" s="1"/>
  <c r="F12" i="59"/>
  <c r="F39" i="19"/>
  <c r="T51" i="48"/>
  <c r="O51" i="48"/>
  <c r="Q32" i="48"/>
  <c r="R32" i="48" s="1"/>
  <c r="O23" i="48"/>
  <c r="E14" i="48"/>
  <c r="F14" i="48"/>
  <c r="S14" i="62"/>
  <c r="S10" i="62"/>
  <c r="N10" i="62"/>
  <c r="N45" i="57"/>
  <c r="O45" i="57"/>
  <c r="U12" i="57"/>
  <c r="V12" i="57"/>
  <c r="W12" i="57" s="1"/>
  <c r="O58" i="2"/>
  <c r="T58" i="2"/>
  <c r="H47" i="62"/>
  <c r="J47" i="62" s="1"/>
  <c r="E53" i="57"/>
  <c r="H53" i="57"/>
  <c r="J53" i="57" s="1"/>
  <c r="P48" i="57"/>
  <c r="Q48" i="57" s="1"/>
  <c r="R48" i="57" s="1"/>
  <c r="O25" i="57"/>
  <c r="T25" i="57"/>
  <c r="V21" i="57"/>
  <c r="W21" i="57" s="1"/>
  <c r="T17" i="57"/>
  <c r="N17" i="57"/>
  <c r="O17" i="57"/>
  <c r="P12" i="57"/>
  <c r="Q12" i="57" s="1"/>
  <c r="R12" i="57" s="1"/>
  <c r="F29" i="19"/>
  <c r="E44" i="48"/>
  <c r="E25" i="62"/>
  <c r="F25" i="62"/>
  <c r="F18" i="62"/>
  <c r="H18" i="62" s="1"/>
  <c r="J18" i="62" s="1"/>
  <c r="E18" i="62"/>
  <c r="T48" i="57"/>
  <c r="N48" i="57"/>
  <c r="E41" i="57"/>
  <c r="H41" i="57"/>
  <c r="J41" i="57" s="1"/>
  <c r="S28" i="56"/>
  <c r="E55" i="21"/>
  <c r="F55" i="21"/>
  <c r="H55" i="21"/>
  <c r="J55" i="21" s="1"/>
  <c r="F15" i="19"/>
  <c r="N44" i="48"/>
  <c r="S44" i="48"/>
  <c r="S41" i="48"/>
  <c r="W41" i="48" s="1"/>
  <c r="Z41" i="48" s="1"/>
  <c r="AA41" i="48" s="1"/>
  <c r="H35" i="48"/>
  <c r="J35" i="48" s="1"/>
  <c r="E35" i="48"/>
  <c r="N23" i="48"/>
  <c r="E13" i="48"/>
  <c r="F13" i="48"/>
  <c r="H13" i="48" s="1"/>
  <c r="J13" i="48" s="1"/>
  <c r="F40" i="62"/>
  <c r="H40" i="62"/>
  <c r="J40" i="62" s="1"/>
  <c r="S29" i="62"/>
  <c r="V52" i="57"/>
  <c r="S12" i="57"/>
  <c r="P58" i="56"/>
  <c r="Q58" i="56"/>
  <c r="R58" i="56" s="1"/>
  <c r="T9" i="56"/>
  <c r="O9" i="56"/>
  <c r="N57" i="48"/>
  <c r="H43" i="62"/>
  <c r="J43" i="62" s="1"/>
  <c r="F56" i="57"/>
  <c r="H29" i="57"/>
  <c r="J29" i="57" s="1"/>
  <c r="H34" i="21"/>
  <c r="J34" i="21" s="1"/>
  <c r="S34" i="21" s="1"/>
  <c r="O29" i="21"/>
  <c r="T29" i="21"/>
  <c r="N29" i="21"/>
  <c r="F34" i="59"/>
  <c r="F43" i="19"/>
  <c r="E57" i="62"/>
  <c r="F57" i="62"/>
  <c r="H57" i="62"/>
  <c r="J57" i="62" s="1"/>
  <c r="F23" i="56"/>
  <c r="H23" i="56"/>
  <c r="J23" i="56" s="1"/>
  <c r="S43" i="2"/>
  <c r="O52" i="57"/>
  <c r="N52" i="57"/>
  <c r="H14" i="56"/>
  <c r="J14" i="56" s="1"/>
  <c r="E14" i="56"/>
  <c r="H12" i="48"/>
  <c r="J12" i="48" s="1"/>
  <c r="N12" i="48" s="1"/>
  <c r="T22" i="57"/>
  <c r="H30" i="21"/>
  <c r="J30" i="21" s="1"/>
  <c r="S30" i="21"/>
  <c r="E57" i="2"/>
  <c r="F57" i="2"/>
  <c r="H57" i="2" s="1"/>
  <c r="J57" i="2" s="1"/>
  <c r="F11" i="48"/>
  <c r="H11" i="48"/>
  <c r="J11" i="48" s="1"/>
  <c r="N27" i="62"/>
  <c r="E32" i="57"/>
  <c r="F32" i="57"/>
  <c r="V24" i="57"/>
  <c r="W24" i="57" s="1"/>
  <c r="U24" i="57"/>
  <c r="H49" i="56"/>
  <c r="J49" i="56" s="1"/>
  <c r="N49" i="56" s="1"/>
  <c r="G2" i="57"/>
  <c r="H2" i="59" s="1"/>
  <c r="G2" i="21"/>
  <c r="H2" i="19" s="1"/>
  <c r="G2" i="56"/>
  <c r="H2" i="58" s="1"/>
  <c r="G2" i="62"/>
  <c r="H2" i="63" s="1"/>
  <c r="H2" i="3"/>
  <c r="E45" i="56"/>
  <c r="F45" i="56"/>
  <c r="O41" i="56"/>
  <c r="T41" i="56"/>
  <c r="S41" i="56"/>
  <c r="N41" i="56"/>
  <c r="N21" i="56"/>
  <c r="S21" i="56"/>
  <c r="N46" i="21"/>
  <c r="O46" i="21"/>
  <c r="S46" i="21"/>
  <c r="T46" i="21"/>
  <c r="G10" i="1"/>
  <c r="G11" i="1"/>
  <c r="D39" i="1"/>
  <c r="F39" i="1" s="1"/>
  <c r="G13" i="1"/>
  <c r="G14" i="1"/>
  <c r="G15" i="1"/>
  <c r="D37" i="1" s="1"/>
  <c r="F37" i="1" s="1"/>
  <c r="G20" i="1"/>
  <c r="G23" i="1"/>
  <c r="G22" i="1"/>
  <c r="F29" i="48"/>
  <c r="E50" i="62"/>
  <c r="H50" i="62"/>
  <c r="J50" i="62" s="1"/>
  <c r="S50" i="62" s="1"/>
  <c r="F30" i="62"/>
  <c r="S37" i="56"/>
  <c r="S9" i="56"/>
  <c r="N9" i="56"/>
  <c r="N42" i="21"/>
  <c r="S42" i="21"/>
  <c r="S18" i="21"/>
  <c r="F49" i="2"/>
  <c r="H49" i="2" s="1"/>
  <c r="J49" i="2" s="1"/>
  <c r="E49" i="2"/>
  <c r="S33" i="62"/>
  <c r="H20" i="62"/>
  <c r="J20" i="62" s="1"/>
  <c r="S48" i="57"/>
  <c r="N35" i="57"/>
  <c r="S35" i="57"/>
  <c r="O24" i="57"/>
  <c r="N24" i="57"/>
  <c r="T25" i="56"/>
  <c r="O25" i="56"/>
  <c r="E42" i="21"/>
  <c r="H42" i="21"/>
  <c r="J42" i="21" s="1"/>
  <c r="E58" i="57"/>
  <c r="H58" i="57"/>
  <c r="J58" i="57" s="1"/>
  <c r="Q37" i="56"/>
  <c r="R37" i="56" s="1"/>
  <c r="E23" i="21"/>
  <c r="F23" i="21"/>
  <c r="H23" i="21"/>
  <c r="J23" i="21" s="1"/>
  <c r="T18" i="21"/>
  <c r="S54" i="2"/>
  <c r="N54" i="2"/>
  <c r="H56" i="48"/>
  <c r="J56" i="48" s="1"/>
  <c r="N56" i="48" s="1"/>
  <c r="H43" i="48"/>
  <c r="J43" i="48" s="1"/>
  <c r="S58" i="62"/>
  <c r="N23" i="62"/>
  <c r="O23" i="62"/>
  <c r="S17" i="57"/>
  <c r="H13" i="56"/>
  <c r="J13" i="56" s="1"/>
  <c r="S13" i="56" s="1"/>
  <c r="H33" i="21"/>
  <c r="J33" i="21" s="1"/>
  <c r="F33" i="21"/>
  <c r="E33" i="21"/>
  <c r="O38" i="48"/>
  <c r="F28" i="48"/>
  <c r="F55" i="62"/>
  <c r="N39" i="57"/>
  <c r="N26" i="56"/>
  <c r="E22" i="56"/>
  <c r="S39" i="21"/>
  <c r="N39" i="21"/>
  <c r="Q42" i="2"/>
  <c r="R42" i="2" s="1"/>
  <c r="Z42" i="2" s="1"/>
  <c r="AA42" i="2" s="1"/>
  <c r="Q32" i="2"/>
  <c r="E26" i="48"/>
  <c r="F26" i="48"/>
  <c r="H24" i="48"/>
  <c r="J24" i="48" s="1"/>
  <c r="S48" i="62"/>
  <c r="N36" i="62"/>
  <c r="S22" i="56"/>
  <c r="N22" i="56"/>
  <c r="H47" i="21"/>
  <c r="J47" i="21" s="1"/>
  <c r="N43" i="21"/>
  <c r="S43" i="21"/>
  <c r="N34" i="48"/>
  <c r="S32" i="48"/>
  <c r="O21" i="57"/>
  <c r="H18" i="57"/>
  <c r="J18" i="57" s="1"/>
  <c r="F18" i="57"/>
  <c r="H39" i="21"/>
  <c r="J39" i="21" s="1"/>
  <c r="N32" i="2"/>
  <c r="S32" i="2"/>
  <c r="F9" i="48"/>
  <c r="H36" i="62"/>
  <c r="J36" i="62" s="1"/>
  <c r="F15" i="62"/>
  <c r="N39" i="56"/>
  <c r="O39" i="56"/>
  <c r="S39" i="56"/>
  <c r="W39" i="56" s="1"/>
  <c r="F36" i="56"/>
  <c r="F29" i="56"/>
  <c r="N18" i="56"/>
  <c r="H58" i="21"/>
  <c r="J58" i="21" s="1"/>
  <c r="F28" i="21"/>
  <c r="H28" i="21"/>
  <c r="J28" i="21" s="1"/>
  <c r="F12" i="62"/>
  <c r="F12" i="21"/>
  <c r="H12" i="21" s="1"/>
  <c r="J12" i="21" s="1"/>
  <c r="N36" i="2"/>
  <c r="S36" i="2"/>
  <c r="F36" i="48"/>
  <c r="H36" i="48"/>
  <c r="J36" i="48" s="1"/>
  <c r="E36" i="57"/>
  <c r="F36" i="57"/>
  <c r="H27" i="57"/>
  <c r="J27" i="57" s="1"/>
  <c r="E27" i="57"/>
  <c r="T58" i="56"/>
  <c r="N58" i="56"/>
  <c r="H29" i="56"/>
  <c r="J29" i="56" s="1"/>
  <c r="N58" i="2"/>
  <c r="S58" i="2"/>
  <c r="H34" i="57"/>
  <c r="J34" i="57" s="1"/>
  <c r="N34" i="57" s="1"/>
  <c r="N9" i="57"/>
  <c r="S9" i="57"/>
  <c r="H43" i="2"/>
  <c r="J43" i="2" s="1"/>
  <c r="S38" i="57"/>
  <c r="E20" i="56"/>
  <c r="F20" i="56"/>
  <c r="E11" i="56"/>
  <c r="F11" i="56"/>
  <c r="E51" i="21"/>
  <c r="F51" i="21"/>
  <c r="H36" i="2"/>
  <c r="J36" i="2" s="1"/>
  <c r="S52" i="57"/>
  <c r="H33" i="57"/>
  <c r="J33" i="57" s="1"/>
  <c r="S22" i="57"/>
  <c r="S50" i="56"/>
  <c r="H54" i="21"/>
  <c r="J54" i="21" s="1"/>
  <c r="S54" i="21" s="1"/>
  <c r="E17" i="21"/>
  <c r="H17" i="21"/>
  <c r="J17" i="21" s="1"/>
  <c r="N17" i="21" s="1"/>
  <c r="N10" i="21"/>
  <c r="S10" i="21"/>
  <c r="H56" i="2"/>
  <c r="J56" i="2" s="1"/>
  <c r="E56" i="2"/>
  <c r="F46" i="2"/>
  <c r="E46" i="2"/>
  <c r="H46" i="2"/>
  <c r="J46" i="2" s="1"/>
  <c r="O55" i="56"/>
  <c r="S55" i="56"/>
  <c r="N55" i="56"/>
  <c r="T55" i="56"/>
  <c r="H32" i="56"/>
  <c r="J32" i="56" s="1"/>
  <c r="N32" i="56"/>
  <c r="S32" i="56"/>
  <c r="P16" i="56"/>
  <c r="Q16" i="56" s="1"/>
  <c r="R16" i="56" s="1"/>
  <c r="T31" i="2"/>
  <c r="S31" i="2"/>
  <c r="T16" i="56"/>
  <c r="H51" i="2"/>
  <c r="J51" i="2" s="1"/>
  <c r="E19" i="57"/>
  <c r="H19" i="57"/>
  <c r="J19" i="57" s="1"/>
  <c r="S12" i="56"/>
  <c r="N12" i="56"/>
  <c r="H48" i="21"/>
  <c r="J48" i="21" s="1"/>
  <c r="F45" i="21"/>
  <c r="E45" i="21"/>
  <c r="N18" i="21"/>
  <c r="H41" i="2"/>
  <c r="J41" i="2" s="1"/>
  <c r="S41" i="2" s="1"/>
  <c r="S28" i="57"/>
  <c r="N28" i="57"/>
  <c r="N51" i="56"/>
  <c r="H46" i="56"/>
  <c r="J46" i="56" s="1"/>
  <c r="H53" i="21"/>
  <c r="J53" i="21" s="1"/>
  <c r="F76" i="1"/>
  <c r="F10" i="48"/>
  <c r="F53" i="62"/>
  <c r="F48" i="2"/>
  <c r="N31" i="2"/>
  <c r="S48" i="56"/>
  <c r="N16" i="56"/>
  <c r="S16" i="56"/>
  <c r="E44" i="2"/>
  <c r="H44" i="2"/>
  <c r="J44" i="2" s="1"/>
  <c r="H30" i="56"/>
  <c r="J30" i="56" s="1"/>
  <c r="F30" i="56"/>
  <c r="E11" i="21"/>
  <c r="F11" i="21"/>
  <c r="F38" i="2"/>
  <c r="G61" i="1"/>
  <c r="G49" i="1"/>
  <c r="G53" i="1"/>
  <c r="G57" i="1"/>
  <c r="S25" i="56"/>
  <c r="N50" i="21"/>
  <c r="H43" i="57"/>
  <c r="J43" i="57" s="1"/>
  <c r="F43" i="57"/>
  <c r="N53" i="56"/>
  <c r="N37" i="56"/>
  <c r="F24" i="21"/>
  <c r="E54" i="2"/>
  <c r="H54" i="2"/>
  <c r="J54" i="2" s="1"/>
  <c r="N42" i="2"/>
  <c r="S42" i="2"/>
  <c r="E34" i="2"/>
  <c r="H34" i="2"/>
  <c r="J34" i="2" s="1"/>
  <c r="N34" i="2" s="1"/>
  <c r="H37" i="21"/>
  <c r="J37" i="21" s="1"/>
  <c r="E19" i="21"/>
  <c r="H19" i="21"/>
  <c r="J19" i="21" s="1"/>
  <c r="E50" i="2"/>
  <c r="H50" i="2"/>
  <c r="J50" i="2" s="1"/>
  <c r="H35" i="2"/>
  <c r="J35" i="2" s="1"/>
  <c r="S35" i="2" s="1"/>
  <c r="G50" i="1"/>
  <c r="N55" i="2"/>
  <c r="H37" i="2"/>
  <c r="J37" i="2" s="1"/>
  <c r="G63" i="1"/>
  <c r="G21" i="1"/>
  <c r="N25" i="57"/>
  <c r="E43" i="56"/>
  <c r="F43" i="56"/>
  <c r="F44" i="21"/>
  <c r="H44" i="21"/>
  <c r="J44" i="21" s="1"/>
  <c r="G19" i="1"/>
  <c r="S29" i="21"/>
  <c r="E35" i="21"/>
  <c r="H35" i="21"/>
  <c r="J35" i="21" s="1"/>
  <c r="N39" i="2"/>
  <c r="R39" i="2" s="1"/>
  <c r="G60" i="1"/>
  <c r="C143" i="49"/>
  <c r="H47" i="2"/>
  <c r="J47" i="2" s="1"/>
  <c r="H18" i="2"/>
  <c r="AC2" i="21"/>
  <c r="F4" i="21"/>
  <c r="Q164" i="49"/>
  <c r="F4" i="56"/>
  <c r="AC2" i="56"/>
  <c r="Q210" i="49"/>
  <c r="AC2" i="57"/>
  <c r="F4" i="57"/>
  <c r="Q256" i="49"/>
  <c r="AC2" i="48"/>
  <c r="F4" i="48"/>
  <c r="Q141" i="49"/>
  <c r="F4" i="2"/>
  <c r="AC2" i="2"/>
  <c r="A95" i="49" l="1"/>
  <c r="T49" i="2"/>
  <c r="O49" i="2"/>
  <c r="D49" i="3"/>
  <c r="G49" i="3" s="1"/>
  <c r="H49" i="3" s="1"/>
  <c r="O18" i="62"/>
  <c r="T18" i="62"/>
  <c r="D18" i="63"/>
  <c r="G18" i="63" s="1"/>
  <c r="H18" i="63" s="1"/>
  <c r="O16" i="57"/>
  <c r="T16" i="57"/>
  <c r="D16" i="59"/>
  <c r="G16" i="59" s="1"/>
  <c r="H16" i="59" s="1"/>
  <c r="A79" i="49" a="1"/>
  <c r="A79" i="49" s="1"/>
  <c r="D57" i="3"/>
  <c r="G57" i="3" s="1"/>
  <c r="H57" i="3" s="1"/>
  <c r="O57" i="2"/>
  <c r="T57" i="2"/>
  <c r="O52" i="62"/>
  <c r="T52" i="62"/>
  <c r="D52" i="63"/>
  <c r="G52" i="63" s="1"/>
  <c r="H52" i="63" s="1"/>
  <c r="O42" i="48"/>
  <c r="D42" i="7"/>
  <c r="G42" i="7" s="1"/>
  <c r="H42" i="7" s="1"/>
  <c r="T42" i="48"/>
  <c r="A88" i="49" a="1"/>
  <c r="A88" i="49" s="1"/>
  <c r="A111" i="49" a="1"/>
  <c r="A111" i="49" s="1"/>
  <c r="T24" i="62"/>
  <c r="D24" i="63"/>
  <c r="G24" i="63" s="1"/>
  <c r="H24" i="63" s="1"/>
  <c r="O24" i="62"/>
  <c r="O12" i="21"/>
  <c r="T12" i="21"/>
  <c r="D12" i="19"/>
  <c r="G12" i="19" s="1"/>
  <c r="H12" i="19" s="1"/>
  <c r="P39" i="57"/>
  <c r="Q39" i="57" s="1"/>
  <c r="R39" i="57" s="1"/>
  <c r="Z39" i="57" s="1"/>
  <c r="AA39" i="57" s="1"/>
  <c r="H30" i="2"/>
  <c r="J30" i="2" s="1"/>
  <c r="A14" i="49" s="1" a="1"/>
  <c r="A14" i="49" s="1"/>
  <c r="O44" i="2"/>
  <c r="T44" i="2"/>
  <c r="D44" i="3"/>
  <c r="G44" i="3" s="1"/>
  <c r="H44" i="3" s="1"/>
  <c r="S44" i="2"/>
  <c r="N44" i="2"/>
  <c r="N53" i="57"/>
  <c r="O53" i="57"/>
  <c r="S53" i="57"/>
  <c r="T53" i="57"/>
  <c r="D53" i="59"/>
  <c r="G53" i="59" s="1"/>
  <c r="H53" i="59" s="1"/>
  <c r="P18" i="56"/>
  <c r="Q18" i="56" s="1"/>
  <c r="R18" i="56" s="1"/>
  <c r="Z18" i="56" s="1"/>
  <c r="AA18" i="56" s="1"/>
  <c r="U41" i="56"/>
  <c r="V41" i="56"/>
  <c r="W41" i="56" s="1"/>
  <c r="U35" i="57"/>
  <c r="V35" i="57" s="1"/>
  <c r="W35" i="57" s="1"/>
  <c r="W43" i="21"/>
  <c r="T37" i="48"/>
  <c r="O37" i="48"/>
  <c r="D37" i="7"/>
  <c r="G37" i="7" s="1"/>
  <c r="H37" i="7" s="1"/>
  <c r="U26" i="2"/>
  <c r="V26" i="2"/>
  <c r="W26" i="2" s="1"/>
  <c r="X2" i="3" a="1"/>
  <c r="P41" i="56"/>
  <c r="Q41" i="56" s="1"/>
  <c r="R41" i="56" s="1"/>
  <c r="Z41" i="56" s="1"/>
  <c r="AA41" i="56" s="1"/>
  <c r="O47" i="62"/>
  <c r="D47" i="63"/>
  <c r="G47" i="63" s="1"/>
  <c r="H47" i="63" s="1"/>
  <c r="T47" i="62"/>
  <c r="N47" i="62"/>
  <c r="S47" i="62"/>
  <c r="P35" i="57"/>
  <c r="Q35" i="57"/>
  <c r="R35" i="57" s="1"/>
  <c r="U13" i="57"/>
  <c r="V13" i="57" s="1"/>
  <c r="W13" i="57" s="1"/>
  <c r="U9" i="57"/>
  <c r="V9" i="57" s="1"/>
  <c r="W9" i="57" s="1"/>
  <c r="V49" i="62"/>
  <c r="W49" i="62" s="1"/>
  <c r="U49" i="62"/>
  <c r="O50" i="2"/>
  <c r="T50" i="2"/>
  <c r="D50" i="3"/>
  <c r="G50" i="3" s="1"/>
  <c r="H50" i="3" s="1"/>
  <c r="P50" i="21"/>
  <c r="Q50" i="21" s="1"/>
  <c r="R50" i="21" s="1"/>
  <c r="Z50" i="21" s="1"/>
  <c r="AA50" i="21" s="1"/>
  <c r="U26" i="56"/>
  <c r="V26" i="56"/>
  <c r="W26" i="56" s="1"/>
  <c r="O19" i="21"/>
  <c r="T19" i="21"/>
  <c r="D19" i="19"/>
  <c r="G19" i="19" s="1"/>
  <c r="H19" i="19" s="1"/>
  <c r="N19" i="21"/>
  <c r="S19" i="21"/>
  <c r="O55" i="21"/>
  <c r="T55" i="21"/>
  <c r="D55" i="19"/>
  <c r="G55" i="19" s="1"/>
  <c r="H55" i="19" s="1"/>
  <c r="O38" i="56"/>
  <c r="D38" i="58"/>
  <c r="G38" i="58" s="1"/>
  <c r="H38" i="58" s="1"/>
  <c r="T38" i="56"/>
  <c r="S46" i="62"/>
  <c r="N46" i="62"/>
  <c r="H10" i="48"/>
  <c r="J10" i="48" s="1"/>
  <c r="N10" i="48"/>
  <c r="O56" i="48"/>
  <c r="S56" i="48"/>
  <c r="T56" i="48"/>
  <c r="D56" i="7"/>
  <c r="G56" i="7" s="1"/>
  <c r="H56" i="7" s="1"/>
  <c r="P23" i="57"/>
  <c r="Q23" i="57" s="1"/>
  <c r="R23" i="57" s="1"/>
  <c r="Z23" i="57" s="1"/>
  <c r="AA23" i="57" s="1"/>
  <c r="O54" i="57"/>
  <c r="T54" i="57"/>
  <c r="D54" i="59"/>
  <c r="G54" i="59" s="1"/>
  <c r="H54" i="59" s="1"/>
  <c r="N54" i="57"/>
  <c r="S54" i="57"/>
  <c r="S34" i="2"/>
  <c r="N34" i="21"/>
  <c r="O40" i="2"/>
  <c r="T40" i="2"/>
  <c r="D40" i="3"/>
  <c r="G40" i="3" s="1"/>
  <c r="H40" i="3" s="1"/>
  <c r="P33" i="62"/>
  <c r="Q33" i="62"/>
  <c r="R33" i="62" s="1"/>
  <c r="N14" i="57"/>
  <c r="S14" i="57"/>
  <c r="P35" i="62"/>
  <c r="Q35" i="62"/>
  <c r="R35" i="62" s="1"/>
  <c r="U48" i="57"/>
  <c r="V48" i="57" s="1"/>
  <c r="W48" i="57" s="1"/>
  <c r="Z48" i="57" s="1"/>
  <c r="AA48" i="57" s="1"/>
  <c r="S40" i="2"/>
  <c r="N40" i="2"/>
  <c r="P14" i="62"/>
  <c r="Q14" i="62"/>
  <c r="R14" i="62" s="1"/>
  <c r="T57" i="57"/>
  <c r="O57" i="57"/>
  <c r="D57" i="59"/>
  <c r="G57" i="59" s="1"/>
  <c r="H57" i="59" s="1"/>
  <c r="D24" i="3"/>
  <c r="G24" i="3" s="1"/>
  <c r="H24" i="3" s="1"/>
  <c r="T24" i="2"/>
  <c r="A26" i="49" a="1"/>
  <c r="A26" i="49" s="1"/>
  <c r="A27" i="49" a="1"/>
  <c r="A27" i="49" s="1"/>
  <c r="O24" i="2"/>
  <c r="A23" i="49" a="1"/>
  <c r="A23" i="49" s="1"/>
  <c r="A20" i="49" a="1"/>
  <c r="A20" i="49" s="1"/>
  <c r="A24" i="49" a="1"/>
  <c r="A24" i="49" s="1"/>
  <c r="T48" i="48"/>
  <c r="O48" i="48"/>
  <c r="D48" i="7"/>
  <c r="G48" i="7" s="1"/>
  <c r="H48" i="7" s="1"/>
  <c r="P56" i="62"/>
  <c r="Q56" i="62" s="1"/>
  <c r="R56" i="62" s="1"/>
  <c r="Z56" i="62" s="1"/>
  <c r="AA56" i="62" s="1"/>
  <c r="T28" i="2"/>
  <c r="O28" i="2"/>
  <c r="D28" i="3"/>
  <c r="G28" i="3" s="1"/>
  <c r="H28" i="3" s="1"/>
  <c r="N28" i="2"/>
  <c r="O31" i="48"/>
  <c r="D31" i="7"/>
  <c r="G31" i="7" s="1"/>
  <c r="H31" i="7" s="1"/>
  <c r="T31" i="48"/>
  <c r="O31" i="21"/>
  <c r="T31" i="21"/>
  <c r="D31" i="19"/>
  <c r="G31" i="19" s="1"/>
  <c r="H31" i="19" s="1"/>
  <c r="T46" i="48"/>
  <c r="O46" i="48"/>
  <c r="D46" i="7"/>
  <c r="G46" i="7" s="1"/>
  <c r="H46" i="7" s="1"/>
  <c r="S46" i="48"/>
  <c r="T54" i="62"/>
  <c r="D54" i="63"/>
  <c r="G54" i="63" s="1"/>
  <c r="H54" i="63" s="1"/>
  <c r="O54" i="62"/>
  <c r="T18" i="48"/>
  <c r="O18" i="48"/>
  <c r="D18" i="7"/>
  <c r="G18" i="7" s="1"/>
  <c r="H18" i="7" s="1"/>
  <c r="S18" i="48"/>
  <c r="N18" i="48"/>
  <c r="A29" i="49" a="1"/>
  <c r="A29" i="49" s="1"/>
  <c r="O40" i="56"/>
  <c r="T40" i="56"/>
  <c r="D40" i="58"/>
  <c r="G40" i="58" s="1"/>
  <c r="H40" i="58" s="1"/>
  <c r="U58" i="2"/>
  <c r="V58" i="2"/>
  <c r="W58" i="2" s="1"/>
  <c r="P49" i="62"/>
  <c r="Q49" i="62"/>
  <c r="R49" i="62" s="1"/>
  <c r="D34" i="63"/>
  <c r="G34" i="63" s="1"/>
  <c r="H34" i="63" s="1"/>
  <c r="O34" i="62"/>
  <c r="T34" i="62"/>
  <c r="S18" i="62"/>
  <c r="N18" i="62"/>
  <c r="U19" i="48"/>
  <c r="V19" i="48"/>
  <c r="W19" i="48" s="1"/>
  <c r="T28" i="21"/>
  <c r="O28" i="21"/>
  <c r="D28" i="19"/>
  <c r="G28" i="19" s="1"/>
  <c r="H28" i="19" s="1"/>
  <c r="N11" i="48"/>
  <c r="S11" i="48"/>
  <c r="P57" i="56"/>
  <c r="Q57" i="56" s="1"/>
  <c r="R57" i="56" s="1"/>
  <c r="Z57" i="56" s="1"/>
  <c r="AA57" i="56" s="1"/>
  <c r="U11" i="62"/>
  <c r="V11" i="62"/>
  <c r="W11" i="62" s="1"/>
  <c r="U20" i="48"/>
  <c r="V20" i="48"/>
  <c r="W20" i="48" s="1"/>
  <c r="T51" i="2"/>
  <c r="O51" i="2"/>
  <c r="S51" i="2"/>
  <c r="D51" i="3"/>
  <c r="G51" i="3" s="1"/>
  <c r="H51" i="3" s="1"/>
  <c r="N51" i="2"/>
  <c r="S11" i="56"/>
  <c r="N11" i="56"/>
  <c r="H11" i="56"/>
  <c r="J11" i="56" s="1"/>
  <c r="T30" i="21"/>
  <c r="D30" i="19"/>
  <c r="G30" i="19" s="1"/>
  <c r="H30" i="19" s="1"/>
  <c r="N30" i="21"/>
  <c r="O30" i="21"/>
  <c r="R34" i="48"/>
  <c r="Z34" i="48" s="1"/>
  <c r="AA34" i="48" s="1"/>
  <c r="U49" i="48"/>
  <c r="V49" i="48" s="1"/>
  <c r="W49" i="48" s="1"/>
  <c r="P17" i="62"/>
  <c r="Q17" i="62" s="1"/>
  <c r="R17" i="62" s="1"/>
  <c r="Z17" i="62" s="1"/>
  <c r="AA17" i="62" s="1"/>
  <c r="H45" i="56"/>
  <c r="J45" i="56" s="1"/>
  <c r="S45" i="56" s="1"/>
  <c r="P26" i="56"/>
  <c r="Q26" i="56" s="1"/>
  <c r="R26" i="56" s="1"/>
  <c r="Z26" i="56" s="1"/>
  <c r="AA26" i="56" s="1"/>
  <c r="U39" i="57"/>
  <c r="V39" i="57"/>
  <c r="W39" i="57" s="1"/>
  <c r="T46" i="62"/>
  <c r="O46" i="62"/>
  <c r="D46" i="63"/>
  <c r="G46" i="63" s="1"/>
  <c r="H46" i="63" s="1"/>
  <c r="O41" i="57"/>
  <c r="T41" i="57"/>
  <c r="D41" i="59"/>
  <c r="G41" i="59" s="1"/>
  <c r="H41" i="59" s="1"/>
  <c r="N41" i="57"/>
  <c r="P27" i="62"/>
  <c r="Q27" i="62"/>
  <c r="R27" i="62" s="1"/>
  <c r="Z27" i="62" s="1"/>
  <c r="AA27" i="62" s="1"/>
  <c r="N12" i="21"/>
  <c r="S12" i="21"/>
  <c r="Z37" i="56"/>
  <c r="AA37" i="56" s="1"/>
  <c r="S12" i="62"/>
  <c r="H12" i="62"/>
  <c r="J12" i="62" s="1"/>
  <c r="N12" i="62"/>
  <c r="O33" i="57"/>
  <c r="T33" i="57"/>
  <c r="D33" i="59"/>
  <c r="G33" i="59" s="1"/>
  <c r="H33" i="59" s="1"/>
  <c r="N33" i="57"/>
  <c r="S33" i="57"/>
  <c r="P55" i="56"/>
  <c r="Q55" i="56"/>
  <c r="R55" i="56" s="1"/>
  <c r="T31" i="56"/>
  <c r="D31" i="58"/>
  <c r="G31" i="58" s="1"/>
  <c r="H31" i="58" s="1"/>
  <c r="O31" i="56"/>
  <c r="S31" i="56"/>
  <c r="O36" i="48"/>
  <c r="D36" i="7"/>
  <c r="G36" i="7" s="1"/>
  <c r="H36" i="7" s="1"/>
  <c r="T36" i="48"/>
  <c r="T37" i="62"/>
  <c r="D37" i="63"/>
  <c r="G37" i="63" s="1"/>
  <c r="H37" i="63" s="1"/>
  <c r="O37" i="62"/>
  <c r="S37" i="62"/>
  <c r="N37" i="62"/>
  <c r="U17" i="62"/>
  <c r="V17" i="62" s="1"/>
  <c r="W17" i="62" s="1"/>
  <c r="U22" i="2"/>
  <c r="V22" i="2"/>
  <c r="W22" i="2" s="1"/>
  <c r="O20" i="21"/>
  <c r="T20" i="21"/>
  <c r="D20" i="19"/>
  <c r="G20" i="19" s="1"/>
  <c r="H20" i="19" s="1"/>
  <c r="H30" i="62"/>
  <c r="J30" i="62" s="1"/>
  <c r="T14" i="57"/>
  <c r="O14" i="57"/>
  <c r="D14" i="59"/>
  <c r="G14" i="59" s="1"/>
  <c r="H14" i="59" s="1"/>
  <c r="U35" i="62"/>
  <c r="V35" i="62" s="1"/>
  <c r="W35" i="62" s="1"/>
  <c r="O10" i="57"/>
  <c r="T10" i="57"/>
  <c r="D10" i="59"/>
  <c r="G10" i="59" s="1"/>
  <c r="H10" i="59" s="1"/>
  <c r="A75" i="49" a="1"/>
  <c r="A75" i="49" s="1"/>
  <c r="U56" i="62"/>
  <c r="V56" i="62" s="1"/>
  <c r="W56" i="62" s="1"/>
  <c r="O29" i="57"/>
  <c r="N29" i="57"/>
  <c r="S29" i="57"/>
  <c r="T29" i="57"/>
  <c r="D29" i="59"/>
  <c r="G29" i="59" s="1"/>
  <c r="H29" i="59" s="1"/>
  <c r="A94" i="49" a="1"/>
  <c r="A94" i="49" s="1"/>
  <c r="O9" i="62"/>
  <c r="T9" i="62"/>
  <c r="D9" i="63"/>
  <c r="G9" i="63" s="1"/>
  <c r="H9" i="63" s="1"/>
  <c r="U32" i="62"/>
  <c r="V32" i="62" s="1"/>
  <c r="W32" i="62" s="1"/>
  <c r="O36" i="57"/>
  <c r="T36" i="57"/>
  <c r="D36" i="59"/>
  <c r="G36" i="59" s="1"/>
  <c r="H36" i="59" s="1"/>
  <c r="N14" i="2"/>
  <c r="R14" i="2" s="1"/>
  <c r="S14" i="2"/>
  <c r="F12" i="49"/>
  <c r="AB12" i="49" s="1"/>
  <c r="H14" i="2"/>
  <c r="U44" i="62"/>
  <c r="V44" i="62"/>
  <c r="W44" i="62" s="1"/>
  <c r="T35" i="2"/>
  <c r="O35" i="2"/>
  <c r="D35" i="3"/>
  <c r="G35" i="3" s="1"/>
  <c r="H35" i="3" s="1"/>
  <c r="N35" i="2"/>
  <c r="U50" i="21"/>
  <c r="V50" i="21"/>
  <c r="W50" i="21" s="1"/>
  <c r="S50" i="2"/>
  <c r="N50" i="2"/>
  <c r="N37" i="21"/>
  <c r="O37" i="21"/>
  <c r="S37" i="21"/>
  <c r="T37" i="21"/>
  <c r="D37" i="19"/>
  <c r="G37" i="19" s="1"/>
  <c r="H37" i="19" s="1"/>
  <c r="O21" i="48"/>
  <c r="D21" i="7"/>
  <c r="G21" i="7" s="1"/>
  <c r="H21" i="7" s="1"/>
  <c r="T21" i="48"/>
  <c r="N21" i="48"/>
  <c r="S21" i="48"/>
  <c r="P53" i="56"/>
  <c r="Q53" i="56" s="1"/>
  <c r="R53" i="56" s="1"/>
  <c r="Z53" i="56" s="1"/>
  <c r="AA53" i="56" s="1"/>
  <c r="N38" i="56"/>
  <c r="Q38" i="21"/>
  <c r="R38" i="21" s="1"/>
  <c r="P38" i="21"/>
  <c r="O33" i="56"/>
  <c r="T33" i="56"/>
  <c r="D33" i="58"/>
  <c r="G33" i="58" s="1"/>
  <c r="H33" i="58" s="1"/>
  <c r="H30" i="57"/>
  <c r="J30" i="57" s="1"/>
  <c r="A78" i="49" s="1" a="1"/>
  <c r="A78" i="49" s="1"/>
  <c r="O47" i="21"/>
  <c r="T47" i="21"/>
  <c r="D47" i="19"/>
  <c r="G47" i="19" s="1"/>
  <c r="H47" i="19" s="1"/>
  <c r="N47" i="21"/>
  <c r="S47" i="21"/>
  <c r="U38" i="21"/>
  <c r="V38" i="21" s="1"/>
  <c r="W38" i="21" s="1"/>
  <c r="T34" i="21"/>
  <c r="O34" i="21"/>
  <c r="D34" i="19"/>
  <c r="G34" i="19" s="1"/>
  <c r="H34" i="19" s="1"/>
  <c r="U33" i="62"/>
  <c r="V33" i="62"/>
  <c r="W33" i="62" s="1"/>
  <c r="S52" i="62"/>
  <c r="N52" i="62"/>
  <c r="A62" i="49" a="1"/>
  <c r="A62" i="49" s="1"/>
  <c r="O17" i="56"/>
  <c r="T17" i="56"/>
  <c r="D17" i="58"/>
  <c r="G17" i="58" s="1"/>
  <c r="H17" i="58" s="1"/>
  <c r="A57" i="49" a="1"/>
  <c r="A57" i="49" s="1"/>
  <c r="A60" i="49" a="1"/>
  <c r="A60" i="49" s="1"/>
  <c r="O11" i="48"/>
  <c r="D11" i="7"/>
  <c r="G11" i="7" s="1"/>
  <c r="H11" i="7" s="1"/>
  <c r="T11" i="48"/>
  <c r="S28" i="21"/>
  <c r="N28" i="21"/>
  <c r="S13" i="21"/>
  <c r="N13" i="21"/>
  <c r="O58" i="21"/>
  <c r="S58" i="21"/>
  <c r="T58" i="21"/>
  <c r="D58" i="19"/>
  <c r="G58" i="19" s="1"/>
  <c r="H58" i="19" s="1"/>
  <c r="N58" i="21"/>
  <c r="P9" i="56"/>
  <c r="Q9" i="56"/>
  <c r="R9" i="56" s="1"/>
  <c r="Z12" i="57"/>
  <c r="AA12" i="57" s="1"/>
  <c r="S9" i="62"/>
  <c r="O19" i="57"/>
  <c r="T19" i="57"/>
  <c r="D19" i="59"/>
  <c r="G19" i="59" s="1"/>
  <c r="H19" i="59" s="1"/>
  <c r="N19" i="57"/>
  <c r="S19" i="57"/>
  <c r="H16" i="62"/>
  <c r="J16" i="62" s="1"/>
  <c r="S16" i="62" s="1"/>
  <c r="N38" i="2"/>
  <c r="H38" i="2"/>
  <c r="J38" i="2" s="1"/>
  <c r="W52" i="57"/>
  <c r="N42" i="48"/>
  <c r="S42" i="48"/>
  <c r="N11" i="21"/>
  <c r="H20" i="56"/>
  <c r="J20" i="56" s="1"/>
  <c r="A64" i="49" s="1" a="1"/>
  <c r="A64" i="49" s="1"/>
  <c r="T45" i="2"/>
  <c r="D45" i="3"/>
  <c r="G45" i="3" s="1"/>
  <c r="H45" i="3" s="1"/>
  <c r="O45" i="2"/>
  <c r="N45" i="2"/>
  <c r="S45" i="2"/>
  <c r="O47" i="48"/>
  <c r="D47" i="7"/>
  <c r="G47" i="7" s="1"/>
  <c r="H47" i="7" s="1"/>
  <c r="T47" i="48"/>
  <c r="Q44" i="62"/>
  <c r="R44" i="62" s="1"/>
  <c r="Z44" i="62" s="1"/>
  <c r="AA44" i="62" s="1"/>
  <c r="P44" i="62"/>
  <c r="S49" i="2"/>
  <c r="N49" i="2"/>
  <c r="T10" i="2"/>
  <c r="O10" i="2"/>
  <c r="D10" i="3"/>
  <c r="G10" i="3" s="1"/>
  <c r="H10" i="3" s="1"/>
  <c r="P58" i="2"/>
  <c r="Q58" i="2"/>
  <c r="R58" i="2" s="1"/>
  <c r="Z58" i="2" s="1"/>
  <c r="AA58" i="2" s="1"/>
  <c r="V21" i="21"/>
  <c r="W21" i="21" s="1"/>
  <c r="Z21" i="21" s="1"/>
  <c r="AA21" i="21" s="1"/>
  <c r="U21" i="21"/>
  <c r="N34" i="62"/>
  <c r="S34" i="62"/>
  <c r="N20" i="21"/>
  <c r="S20" i="21"/>
  <c r="H52" i="56"/>
  <c r="J52" i="56" s="1"/>
  <c r="T44" i="57"/>
  <c r="O44" i="57"/>
  <c r="D44" i="59"/>
  <c r="G44" i="59" s="1"/>
  <c r="H44" i="59" s="1"/>
  <c r="U18" i="21"/>
  <c r="V18" i="21"/>
  <c r="W18" i="21" s="1"/>
  <c r="Z29" i="62"/>
  <c r="AA29" i="62" s="1"/>
  <c r="S24" i="62"/>
  <c r="N24" i="62"/>
  <c r="Q32" i="62"/>
  <c r="R32" i="62" s="1"/>
  <c r="P32" i="62"/>
  <c r="N56" i="57"/>
  <c r="S56" i="57"/>
  <c r="H56" i="57"/>
  <c r="J56" i="57" s="1"/>
  <c r="P23" i="2"/>
  <c r="Q23" i="2"/>
  <c r="R23" i="2" s="1"/>
  <c r="Z23" i="2" s="1"/>
  <c r="AA23" i="2" s="1"/>
  <c r="Z39" i="2"/>
  <c r="AA39" i="2" s="1"/>
  <c r="N9" i="62"/>
  <c r="O49" i="21"/>
  <c r="T49" i="21"/>
  <c r="D49" i="19"/>
  <c r="G49" i="19" s="1"/>
  <c r="H49" i="19" s="1"/>
  <c r="N49" i="21"/>
  <c r="S49" i="21"/>
  <c r="N51" i="21"/>
  <c r="S51" i="21"/>
  <c r="H51" i="21"/>
  <c r="J51" i="21" s="1"/>
  <c r="O17" i="48"/>
  <c r="T17" i="48"/>
  <c r="D17" i="7"/>
  <c r="G17" i="7" s="1"/>
  <c r="H17" i="7" s="1"/>
  <c r="N17" i="48"/>
  <c r="S17" i="48"/>
  <c r="P20" i="48"/>
  <c r="Q20" i="48" s="1"/>
  <c r="R20" i="48" s="1"/>
  <c r="Z20" i="48" s="1"/>
  <c r="AA20" i="48" s="1"/>
  <c r="H36" i="56"/>
  <c r="J36" i="56" s="1"/>
  <c r="N36" i="56" s="1"/>
  <c r="P15" i="21"/>
  <c r="Q15" i="21" s="1"/>
  <c r="R15" i="21" s="1"/>
  <c r="U22" i="57"/>
  <c r="V22" i="57" s="1"/>
  <c r="W22" i="57" s="1"/>
  <c r="Z22" i="57" s="1"/>
  <c r="AA22" i="57" s="1"/>
  <c r="O39" i="62"/>
  <c r="D39" i="63"/>
  <c r="G39" i="63" s="1"/>
  <c r="H39" i="63" s="1"/>
  <c r="T39" i="62"/>
  <c r="P49" i="48"/>
  <c r="Q49" i="48"/>
  <c r="R49" i="48" s="1"/>
  <c r="N30" i="56"/>
  <c r="S30" i="56"/>
  <c r="T13" i="48"/>
  <c r="O13" i="48"/>
  <c r="D13" i="7"/>
  <c r="G13" i="7" s="1"/>
  <c r="H13" i="7" s="1"/>
  <c r="U48" i="56"/>
  <c r="V48" i="56"/>
  <c r="W48" i="56" s="1"/>
  <c r="N47" i="48"/>
  <c r="S47" i="48"/>
  <c r="O54" i="56"/>
  <c r="D54" i="58"/>
  <c r="G54" i="58" s="1"/>
  <c r="H54" i="58" s="1"/>
  <c r="T54" i="56"/>
  <c r="P23" i="62"/>
  <c r="Q23" i="62"/>
  <c r="R23" i="62" s="1"/>
  <c r="Z23" i="62" s="1"/>
  <c r="AA23" i="62" s="1"/>
  <c r="T40" i="57"/>
  <c r="O40" i="57"/>
  <c r="D40" i="59"/>
  <c r="G40" i="59" s="1"/>
  <c r="H40" i="59" s="1"/>
  <c r="S40" i="57"/>
  <c r="N40" i="57"/>
  <c r="A73" i="49" a="1"/>
  <c r="A73" i="49" s="1"/>
  <c r="S10" i="2"/>
  <c r="P45" i="57"/>
  <c r="Q45" i="57" s="1"/>
  <c r="R45" i="57" s="1"/>
  <c r="Z45" i="57" s="1"/>
  <c r="AA45" i="57" s="1"/>
  <c r="O43" i="48"/>
  <c r="D43" i="7"/>
  <c r="G43" i="7" s="1"/>
  <c r="H43" i="7" s="1"/>
  <c r="N43" i="48"/>
  <c r="S43" i="48"/>
  <c r="T43" i="48"/>
  <c r="S55" i="21"/>
  <c r="N55" i="21"/>
  <c r="P13" i="57"/>
  <c r="Q13" i="57"/>
  <c r="R13" i="57" s="1"/>
  <c r="S38" i="56"/>
  <c r="T36" i="21"/>
  <c r="D36" i="19"/>
  <c r="G36" i="19" s="1"/>
  <c r="H36" i="19" s="1"/>
  <c r="O36" i="21"/>
  <c r="O34" i="2"/>
  <c r="T34" i="2"/>
  <c r="D34" i="3"/>
  <c r="G34" i="3" s="1"/>
  <c r="H34" i="3" s="1"/>
  <c r="N16" i="57"/>
  <c r="S16" i="57"/>
  <c r="V27" i="62"/>
  <c r="W27" i="62" s="1"/>
  <c r="U27" i="62"/>
  <c r="N36" i="48"/>
  <c r="S36" i="48"/>
  <c r="O43" i="62"/>
  <c r="D43" i="63"/>
  <c r="G43" i="63" s="1"/>
  <c r="H43" i="63" s="1"/>
  <c r="S43" i="62"/>
  <c r="T43" i="62"/>
  <c r="N43" i="62"/>
  <c r="V23" i="2"/>
  <c r="W23" i="2" s="1"/>
  <c r="U23" i="2"/>
  <c r="T13" i="21"/>
  <c r="O13" i="21"/>
  <c r="D13" i="19"/>
  <c r="G13" i="19" s="1"/>
  <c r="H13" i="19" s="1"/>
  <c r="T15" i="57"/>
  <c r="A81" i="49" a="1"/>
  <c r="A81" i="49" s="1"/>
  <c r="D15" i="59"/>
  <c r="G15" i="59" s="1"/>
  <c r="H15" i="59" s="1"/>
  <c r="O15" i="57"/>
  <c r="T36" i="2"/>
  <c r="O36" i="2"/>
  <c r="D36" i="3"/>
  <c r="G36" i="3" s="1"/>
  <c r="H36" i="3" s="1"/>
  <c r="N57" i="2"/>
  <c r="S57" i="2"/>
  <c r="U9" i="56"/>
  <c r="V9" i="56" s="1"/>
  <c r="W9" i="56" s="1"/>
  <c r="P28" i="57"/>
  <c r="Q28" i="57" s="1"/>
  <c r="R28" i="57" s="1"/>
  <c r="Z28" i="57" s="1"/>
  <c r="AA28" i="57" s="1"/>
  <c r="V16" i="56"/>
  <c r="W16" i="56" s="1"/>
  <c r="Z16" i="56" s="1"/>
  <c r="AA16" i="56" s="1"/>
  <c r="U16" i="56"/>
  <c r="P55" i="2"/>
  <c r="Q55" i="2" s="1"/>
  <c r="R55" i="2" s="1"/>
  <c r="Z55" i="2" s="1"/>
  <c r="AA55" i="2" s="1"/>
  <c r="H11" i="21"/>
  <c r="J11" i="21" s="1"/>
  <c r="U31" i="2"/>
  <c r="V31" i="2"/>
  <c r="W31" i="2" s="1"/>
  <c r="Z31" i="2" s="1"/>
  <c r="AA31" i="2" s="1"/>
  <c r="O20" i="62"/>
  <c r="T20" i="62"/>
  <c r="D20" i="63"/>
  <c r="G20" i="63" s="1"/>
  <c r="H20" i="63" s="1"/>
  <c r="N20" i="62"/>
  <c r="S20" i="62"/>
  <c r="S41" i="57"/>
  <c r="O37" i="2"/>
  <c r="T37" i="2"/>
  <c r="N37" i="2"/>
  <c r="D37" i="3"/>
  <c r="G37" i="3" s="1"/>
  <c r="H37" i="3" s="1"/>
  <c r="S37" i="2"/>
  <c r="O30" i="56"/>
  <c r="D30" i="58"/>
  <c r="G30" i="58" s="1"/>
  <c r="H30" i="58" s="1"/>
  <c r="T30" i="56"/>
  <c r="P48" i="56"/>
  <c r="Q48" i="56"/>
  <c r="R48" i="56" s="1"/>
  <c r="Z48" i="56" s="1"/>
  <c r="AA48" i="56" s="1"/>
  <c r="U16" i="48"/>
  <c r="V16" i="48" s="1"/>
  <c r="W16" i="48" s="1"/>
  <c r="O35" i="56"/>
  <c r="T35" i="56"/>
  <c r="D35" i="58"/>
  <c r="G35" i="58" s="1"/>
  <c r="H35" i="58" s="1"/>
  <c r="N35" i="56"/>
  <c r="P22" i="48"/>
  <c r="Q22" i="48" s="1"/>
  <c r="R22" i="48" s="1"/>
  <c r="Z22" i="48" s="1"/>
  <c r="AA22" i="48" s="1"/>
  <c r="S25" i="62"/>
  <c r="U45" i="48"/>
  <c r="V45" i="48"/>
  <c r="W45" i="48" s="1"/>
  <c r="S17" i="56"/>
  <c r="N17" i="56"/>
  <c r="W14" i="2"/>
  <c r="S37" i="48"/>
  <c r="N37" i="48"/>
  <c r="P22" i="2"/>
  <c r="Q22" i="2" s="1"/>
  <c r="R22" i="2" s="1"/>
  <c r="Z22" i="2" s="1"/>
  <c r="AA22" i="2" s="1"/>
  <c r="V27" i="2"/>
  <c r="W27" i="2" s="1"/>
  <c r="U27" i="2"/>
  <c r="O24" i="48"/>
  <c r="S24" i="48"/>
  <c r="T24" i="48"/>
  <c r="D24" i="7"/>
  <c r="G24" i="7" s="1"/>
  <c r="H24" i="7" s="1"/>
  <c r="S23" i="21"/>
  <c r="N23" i="21"/>
  <c r="U58" i="62"/>
  <c r="V58" i="62"/>
  <c r="W58" i="62" s="1"/>
  <c r="Q16" i="48"/>
  <c r="R16" i="48" s="1"/>
  <c r="P16" i="48"/>
  <c r="T58" i="48"/>
  <c r="O58" i="48"/>
  <c r="D58" i="7"/>
  <c r="G58" i="7" s="1"/>
  <c r="H58" i="7" s="1"/>
  <c r="S12" i="48"/>
  <c r="P45" i="48"/>
  <c r="Q45" i="48"/>
  <c r="R45" i="48" s="1"/>
  <c r="Z45" i="48" s="1"/>
  <c r="AA45" i="48" s="1"/>
  <c r="P51" i="56"/>
  <c r="Q51" i="56"/>
  <c r="R51" i="56" s="1"/>
  <c r="P34" i="56"/>
  <c r="Q34" i="56"/>
  <c r="R34" i="56" s="1"/>
  <c r="P27" i="2"/>
  <c r="Q27" i="2" s="1"/>
  <c r="R27" i="2" s="1"/>
  <c r="Z27" i="2" s="1"/>
  <c r="AA27" i="2" s="1"/>
  <c r="U55" i="56"/>
  <c r="V55" i="56" s="1"/>
  <c r="W55" i="56" s="1"/>
  <c r="O43" i="2"/>
  <c r="T43" i="2"/>
  <c r="D43" i="3"/>
  <c r="G43" i="3" s="1"/>
  <c r="H43" i="3" s="1"/>
  <c r="N43" i="2"/>
  <c r="H26" i="48"/>
  <c r="J26" i="48" s="1"/>
  <c r="A129" i="49" s="1" a="1"/>
  <c r="A129" i="49" s="1"/>
  <c r="N26" i="48"/>
  <c r="N50" i="62"/>
  <c r="A59" i="49" a="1"/>
  <c r="A59" i="49" s="1"/>
  <c r="O14" i="56"/>
  <c r="D14" i="58"/>
  <c r="G14" i="58" s="1"/>
  <c r="H14" i="58" s="1"/>
  <c r="T14" i="56"/>
  <c r="H25" i="62"/>
  <c r="J25" i="62" s="1"/>
  <c r="P58" i="62"/>
  <c r="Q58" i="62" s="1"/>
  <c r="R58" i="62" s="1"/>
  <c r="Z58" i="62" s="1"/>
  <c r="AA58" i="62" s="1"/>
  <c r="S58" i="48"/>
  <c r="N58" i="48"/>
  <c r="T19" i="56"/>
  <c r="D19" i="58"/>
  <c r="G19" i="58" s="1"/>
  <c r="H19" i="58" s="1"/>
  <c r="N19" i="56"/>
  <c r="O19" i="56"/>
  <c r="P57" i="48"/>
  <c r="Q57" i="48"/>
  <c r="R57" i="48" s="1"/>
  <c r="Z57" i="48" s="1"/>
  <c r="AA57" i="48" s="1"/>
  <c r="A16" i="49" a="1"/>
  <c r="A16" i="49" s="1"/>
  <c r="O13" i="2"/>
  <c r="T13" i="2"/>
  <c r="D13" i="3"/>
  <c r="G13" i="3" s="1"/>
  <c r="H13" i="3" s="1"/>
  <c r="S143" i="49"/>
  <c r="R143" i="49"/>
  <c r="J143" i="49"/>
  <c r="H12" i="49"/>
  <c r="J12" i="49" s="1"/>
  <c r="M12" i="49"/>
  <c r="N12" i="49"/>
  <c r="U34" i="56"/>
  <c r="V34" i="56"/>
  <c r="W34" i="56" s="1"/>
  <c r="T45" i="62"/>
  <c r="O45" i="62"/>
  <c r="D45" i="63"/>
  <c r="G45" i="63" s="1"/>
  <c r="H45" i="63" s="1"/>
  <c r="S48" i="2"/>
  <c r="H48" i="2"/>
  <c r="J48" i="2" s="1"/>
  <c r="N48" i="2" s="1"/>
  <c r="U57" i="48"/>
  <c r="V57" i="48"/>
  <c r="W57" i="48" s="1"/>
  <c r="Q53" i="48"/>
  <c r="R53" i="48" s="1"/>
  <c r="P53" i="48"/>
  <c r="O47" i="57"/>
  <c r="D47" i="59"/>
  <c r="G47" i="59" s="1"/>
  <c r="H47" i="59" s="1"/>
  <c r="T47" i="57"/>
  <c r="S47" i="57"/>
  <c r="U51" i="56"/>
  <c r="V51" i="56"/>
  <c r="W51" i="56" s="1"/>
  <c r="S13" i="2"/>
  <c r="N13" i="2"/>
  <c r="U17" i="2"/>
  <c r="V17" i="2" s="1"/>
  <c r="W17" i="2" s="1"/>
  <c r="O32" i="56"/>
  <c r="T32" i="56"/>
  <c r="D32" i="58"/>
  <c r="G32" i="58" s="1"/>
  <c r="H32" i="58" s="1"/>
  <c r="O23" i="21"/>
  <c r="T23" i="21"/>
  <c r="D23" i="19"/>
  <c r="G23" i="19" s="1"/>
  <c r="H23" i="19" s="1"/>
  <c r="O12" i="48"/>
  <c r="D12" i="7"/>
  <c r="G12" i="7" s="1"/>
  <c r="H12" i="7" s="1"/>
  <c r="T12" i="48"/>
  <c r="O47" i="2"/>
  <c r="T47" i="2"/>
  <c r="N47" i="2"/>
  <c r="S47" i="2"/>
  <c r="D47" i="3"/>
  <c r="G47" i="3" s="1"/>
  <c r="H47" i="3" s="1"/>
  <c r="T54" i="2"/>
  <c r="O54" i="2"/>
  <c r="D54" i="3"/>
  <c r="G54" i="3" s="1"/>
  <c r="H54" i="3" s="1"/>
  <c r="H53" i="62"/>
  <c r="J53" i="62" s="1"/>
  <c r="S53" i="62" s="1"/>
  <c r="N29" i="56"/>
  <c r="S29" i="56"/>
  <c r="R32" i="2"/>
  <c r="Z32" i="2" s="1"/>
  <c r="AA32" i="2" s="1"/>
  <c r="N33" i="56"/>
  <c r="S33" i="56"/>
  <c r="H52" i="21"/>
  <c r="J52" i="21" s="1"/>
  <c r="P9" i="57"/>
  <c r="Q9" i="57"/>
  <c r="R9" i="57" s="1"/>
  <c r="U53" i="48"/>
  <c r="V53" i="48"/>
  <c r="W53" i="48" s="1"/>
  <c r="O54" i="48"/>
  <c r="T54" i="48"/>
  <c r="D54" i="7"/>
  <c r="G54" i="7" s="1"/>
  <c r="H54" i="7" s="1"/>
  <c r="W28" i="56"/>
  <c r="P17" i="2"/>
  <c r="Q17" i="2"/>
  <c r="R17" i="2" s="1"/>
  <c r="O25" i="48"/>
  <c r="D25" i="7"/>
  <c r="G25" i="7" s="1"/>
  <c r="H25" i="7" s="1"/>
  <c r="T25" i="48"/>
  <c r="S45" i="62"/>
  <c r="T58" i="57"/>
  <c r="O58" i="57"/>
  <c r="N58" i="57"/>
  <c r="S58" i="57"/>
  <c r="D58" i="59"/>
  <c r="G58" i="59" s="1"/>
  <c r="H58" i="59" s="1"/>
  <c r="U55" i="2"/>
  <c r="V55" i="2" s="1"/>
  <c r="W55" i="2" s="1"/>
  <c r="P26" i="2"/>
  <c r="Q26" i="2"/>
  <c r="R26" i="2" s="1"/>
  <c r="Z26" i="2" s="1"/>
  <c r="AA26" i="2" s="1"/>
  <c r="Z55" i="48"/>
  <c r="AA55" i="48" s="1"/>
  <c r="H27" i="21"/>
  <c r="J27" i="21" s="1"/>
  <c r="S27" i="21" s="1"/>
  <c r="S25" i="2"/>
  <c r="N25" i="2"/>
  <c r="O35" i="21"/>
  <c r="S35" i="21"/>
  <c r="T35" i="21"/>
  <c r="D35" i="19"/>
  <c r="G35" i="19" s="1"/>
  <c r="H35" i="19" s="1"/>
  <c r="O46" i="56"/>
  <c r="N46" i="56"/>
  <c r="S46" i="56"/>
  <c r="D46" i="58"/>
  <c r="G46" i="58" s="1"/>
  <c r="H46" i="58" s="1"/>
  <c r="T46" i="56"/>
  <c r="N46" i="2"/>
  <c r="S46" i="2"/>
  <c r="H29" i="48"/>
  <c r="J29" i="48" s="1"/>
  <c r="N29" i="48"/>
  <c r="T40" i="62"/>
  <c r="D40" i="63"/>
  <c r="G40" i="63" s="1"/>
  <c r="H40" i="63" s="1"/>
  <c r="O40" i="62"/>
  <c r="P23" i="48"/>
  <c r="Q23" i="48"/>
  <c r="R23" i="48" s="1"/>
  <c r="Z23" i="48" s="1"/>
  <c r="AA23" i="48" s="1"/>
  <c r="N26" i="57"/>
  <c r="S26" i="57"/>
  <c r="A86" i="49" a="1"/>
  <c r="A86" i="49" s="1"/>
  <c r="T20" i="57"/>
  <c r="D20" i="59"/>
  <c r="G20" i="59" s="1"/>
  <c r="H20" i="59" s="1"/>
  <c r="N20" i="57"/>
  <c r="O20" i="57"/>
  <c r="H50" i="48"/>
  <c r="J50" i="48" s="1"/>
  <c r="N11" i="57"/>
  <c r="S11" i="57"/>
  <c r="S25" i="21"/>
  <c r="O41" i="21"/>
  <c r="T41" i="21"/>
  <c r="D41" i="19"/>
  <c r="G41" i="19" s="1"/>
  <c r="H41" i="19" s="1"/>
  <c r="U23" i="57"/>
  <c r="V23" i="57"/>
  <c r="W23" i="57" s="1"/>
  <c r="S27" i="56"/>
  <c r="N27" i="56"/>
  <c r="P12" i="2"/>
  <c r="Q12" i="2" s="1"/>
  <c r="R12" i="2" s="1"/>
  <c r="Z12" i="2" s="1"/>
  <c r="AA12" i="2" s="1"/>
  <c r="P42" i="56"/>
  <c r="Q42" i="56"/>
  <c r="R42" i="56" s="1"/>
  <c r="U55" i="57"/>
  <c r="V55" i="57"/>
  <c r="W55" i="57" s="1"/>
  <c r="Z55" i="57" s="1"/>
  <c r="AA55" i="57" s="1"/>
  <c r="T29" i="2"/>
  <c r="D29" i="3"/>
  <c r="G29" i="3" s="1"/>
  <c r="H29" i="3" s="1"/>
  <c r="O29" i="2"/>
  <c r="W57" i="56"/>
  <c r="S14" i="56"/>
  <c r="S40" i="62"/>
  <c r="N40" i="62"/>
  <c r="U48" i="62"/>
  <c r="V48" i="62"/>
  <c r="W48" i="62" s="1"/>
  <c r="Z48" i="62" s="1"/>
  <c r="AA48" i="62" s="1"/>
  <c r="S20" i="57"/>
  <c r="T50" i="57"/>
  <c r="D50" i="59"/>
  <c r="G50" i="59" s="1"/>
  <c r="H50" i="59" s="1"/>
  <c r="O50" i="57"/>
  <c r="S41" i="21"/>
  <c r="A89" i="49" a="1"/>
  <c r="A89" i="49" s="1"/>
  <c r="P38" i="57"/>
  <c r="Q38" i="57"/>
  <c r="R38" i="57" s="1"/>
  <c r="U30" i="48"/>
  <c r="V30" i="48" s="1"/>
  <c r="W30" i="48" s="1"/>
  <c r="U12" i="2"/>
  <c r="V12" i="2"/>
  <c r="W12" i="2" s="1"/>
  <c r="P27" i="48"/>
  <c r="Q27" i="48" s="1"/>
  <c r="R27" i="48" s="1"/>
  <c r="Z27" i="48" s="1"/>
  <c r="AA27" i="48" s="1"/>
  <c r="U26" i="21"/>
  <c r="V26" i="21"/>
  <c r="W26" i="21" s="1"/>
  <c r="U9" i="2"/>
  <c r="V9" i="2"/>
  <c r="W9" i="2" s="1"/>
  <c r="N35" i="21"/>
  <c r="S43" i="57"/>
  <c r="N43" i="57"/>
  <c r="O36" i="62"/>
  <c r="S36" i="62"/>
  <c r="T36" i="62"/>
  <c r="D36" i="63"/>
  <c r="G36" i="63" s="1"/>
  <c r="H36" i="63" s="1"/>
  <c r="T42" i="21"/>
  <c r="D42" i="19"/>
  <c r="G42" i="19" s="1"/>
  <c r="H42" i="19" s="1"/>
  <c r="O42" i="21"/>
  <c r="N14" i="56"/>
  <c r="U22" i="56"/>
  <c r="V22" i="56" s="1"/>
  <c r="W22" i="56" s="1"/>
  <c r="N44" i="56"/>
  <c r="U15" i="21"/>
  <c r="V15" i="21" s="1"/>
  <c r="W15" i="21" s="1"/>
  <c r="U40" i="21"/>
  <c r="V40" i="21" s="1"/>
  <c r="W40" i="21" s="1"/>
  <c r="N41" i="21"/>
  <c r="A115" i="49" a="1"/>
  <c r="A115" i="49" s="1"/>
  <c r="O28" i="62"/>
  <c r="T28" i="62"/>
  <c r="D28" i="63"/>
  <c r="G28" i="63" s="1"/>
  <c r="H28" i="63" s="1"/>
  <c r="V42" i="56"/>
  <c r="W42" i="56" s="1"/>
  <c r="U42" i="56"/>
  <c r="V55" i="48"/>
  <c r="W55" i="48" s="1"/>
  <c r="U55" i="48"/>
  <c r="AB13" i="49"/>
  <c r="H13" i="49"/>
  <c r="J13" i="49" s="1"/>
  <c r="P26" i="21"/>
  <c r="Q26" i="21" s="1"/>
  <c r="R26" i="21" s="1"/>
  <c r="Z26" i="21" s="1"/>
  <c r="AA26" i="21" s="1"/>
  <c r="U10" i="62"/>
  <c r="V10" i="62"/>
  <c r="W10" i="62" s="1"/>
  <c r="P9" i="2"/>
  <c r="Q9" i="2"/>
  <c r="R9" i="2" s="1"/>
  <c r="Z9" i="2" s="1"/>
  <c r="AA9" i="2" s="1"/>
  <c r="U21" i="2"/>
  <c r="V21" i="2"/>
  <c r="W21" i="2" s="1"/>
  <c r="N15" i="48"/>
  <c r="S15" i="48"/>
  <c r="O27" i="56"/>
  <c r="T27" i="56"/>
  <c r="D27" i="58"/>
  <c r="G27" i="58" s="1"/>
  <c r="H27" i="58" s="1"/>
  <c r="T43" i="57"/>
  <c r="D43" i="59"/>
  <c r="G43" i="59" s="1"/>
  <c r="H43" i="59" s="1"/>
  <c r="O43" i="57"/>
  <c r="P21" i="2"/>
  <c r="Q21" i="2"/>
  <c r="R21" i="2" s="1"/>
  <c r="Z21" i="2" s="1"/>
  <c r="AA21" i="2" s="1"/>
  <c r="P25" i="56"/>
  <c r="Q25" i="56"/>
  <c r="R25" i="56" s="1"/>
  <c r="Z25" i="56" s="1"/>
  <c r="AA25" i="56" s="1"/>
  <c r="S23" i="56"/>
  <c r="N23" i="56"/>
  <c r="U51" i="48"/>
  <c r="V51" i="48" s="1"/>
  <c r="W51" i="48" s="1"/>
  <c r="P42" i="57"/>
  <c r="Q42" i="57" s="1"/>
  <c r="R42" i="57" s="1"/>
  <c r="Z42" i="57" s="1"/>
  <c r="AA42" i="57" s="1"/>
  <c r="P44" i="48"/>
  <c r="Q44" i="48"/>
  <c r="R44" i="48" s="1"/>
  <c r="P38" i="48"/>
  <c r="Q38" i="48" s="1"/>
  <c r="R38" i="48" s="1"/>
  <c r="Z38" i="48" s="1"/>
  <c r="AA38" i="48" s="1"/>
  <c r="U31" i="57"/>
  <c r="V31" i="57" s="1"/>
  <c r="W31" i="57" s="1"/>
  <c r="H13" i="62"/>
  <c r="J13" i="62" s="1"/>
  <c r="U42" i="57"/>
  <c r="V42" i="57"/>
  <c r="W42" i="57" s="1"/>
  <c r="O33" i="2"/>
  <c r="T33" i="2"/>
  <c r="D33" i="3"/>
  <c r="G33" i="3" s="1"/>
  <c r="H33" i="3" s="1"/>
  <c r="S33" i="2"/>
  <c r="U57" i="21"/>
  <c r="V57" i="21" s="1"/>
  <c r="W57" i="21" s="1"/>
  <c r="U16" i="2"/>
  <c r="V16" i="2" s="1"/>
  <c r="W16" i="2" s="1"/>
  <c r="T44" i="21"/>
  <c r="O44" i="21"/>
  <c r="D44" i="19"/>
  <c r="G44" i="19" s="1"/>
  <c r="H44" i="19" s="1"/>
  <c r="A93" i="49" a="1"/>
  <c r="A93" i="49" s="1"/>
  <c r="O27" i="57"/>
  <c r="T27" i="57"/>
  <c r="D27" i="59"/>
  <c r="G27" i="59" s="1"/>
  <c r="H27" i="59" s="1"/>
  <c r="T52" i="2"/>
  <c r="O52" i="2"/>
  <c r="D52" i="3"/>
  <c r="G52" i="3" s="1"/>
  <c r="H52" i="3" s="1"/>
  <c r="T38" i="62"/>
  <c r="D38" i="63"/>
  <c r="G38" i="63" s="1"/>
  <c r="H38" i="63" s="1"/>
  <c r="O38" i="62"/>
  <c r="V10" i="21"/>
  <c r="W10" i="21" s="1"/>
  <c r="U10" i="21"/>
  <c r="U41" i="62"/>
  <c r="V41" i="62"/>
  <c r="W41" i="62" s="1"/>
  <c r="Z41" i="62" s="1"/>
  <c r="AA41" i="62" s="1"/>
  <c r="P57" i="21"/>
  <c r="Q57" i="21"/>
  <c r="R57" i="21" s="1"/>
  <c r="N38" i="62"/>
  <c r="W32" i="48"/>
  <c r="Z32" i="48" s="1"/>
  <c r="AA32" i="48" s="1"/>
  <c r="P16" i="2"/>
  <c r="Q16" i="2" s="1"/>
  <c r="R16" i="2" s="1"/>
  <c r="W20" i="2"/>
  <c r="Z20" i="2" s="1"/>
  <c r="AA20" i="2" s="1"/>
  <c r="N40" i="48"/>
  <c r="S40" i="48"/>
  <c r="U28" i="57"/>
  <c r="V28" i="57"/>
  <c r="W28" i="57" s="1"/>
  <c r="O25" i="2"/>
  <c r="T25" i="2"/>
  <c r="A28" i="49" a="1"/>
  <c r="A28" i="49" s="1"/>
  <c r="D25" i="3"/>
  <c r="G25" i="3" s="1"/>
  <c r="H25" i="3" s="1"/>
  <c r="T56" i="2"/>
  <c r="D56" i="3"/>
  <c r="G56" i="3" s="1"/>
  <c r="H56" i="3" s="1"/>
  <c r="O56" i="2"/>
  <c r="P17" i="57"/>
  <c r="Q17" i="57" s="1"/>
  <c r="R17" i="57" s="1"/>
  <c r="Z17" i="57" s="1"/>
  <c r="AA17" i="57" s="1"/>
  <c r="S31" i="48"/>
  <c r="N31" i="48"/>
  <c r="P40" i="21"/>
  <c r="Q40" i="21" s="1"/>
  <c r="R40" i="21" s="1"/>
  <c r="S57" i="57"/>
  <c r="N57" i="57"/>
  <c r="S24" i="2"/>
  <c r="N24" i="2"/>
  <c r="U44" i="48"/>
  <c r="V44" i="48"/>
  <c r="W44" i="48" s="1"/>
  <c r="U50" i="56"/>
  <c r="V50" i="56" s="1"/>
  <c r="W50" i="56" s="1"/>
  <c r="Q50" i="56"/>
  <c r="R50" i="56" s="1"/>
  <c r="P50" i="56"/>
  <c r="U11" i="2"/>
  <c r="V11" i="2" s="1"/>
  <c r="W11" i="2" s="1"/>
  <c r="T24" i="56"/>
  <c r="O24" i="56"/>
  <c r="D24" i="58"/>
  <c r="G24" i="58" s="1"/>
  <c r="H24" i="58" s="1"/>
  <c r="T17" i="21"/>
  <c r="O17" i="21"/>
  <c r="D17" i="19"/>
  <c r="G17" i="19" s="1"/>
  <c r="H17" i="19" s="1"/>
  <c r="N44" i="21"/>
  <c r="S44" i="21"/>
  <c r="S36" i="57"/>
  <c r="N36" i="57"/>
  <c r="N18" i="57"/>
  <c r="S18" i="57"/>
  <c r="S33" i="21"/>
  <c r="N33" i="21"/>
  <c r="T35" i="48"/>
  <c r="D35" i="7"/>
  <c r="G35" i="7" s="1"/>
  <c r="H35" i="7" s="1"/>
  <c r="O35" i="48"/>
  <c r="U25" i="57"/>
  <c r="V25" i="57"/>
  <c r="W25" i="57" s="1"/>
  <c r="Q14" i="21"/>
  <c r="R14" i="21" s="1"/>
  <c r="Z14" i="21" s="1"/>
  <c r="AA14" i="21" s="1"/>
  <c r="P14" i="21"/>
  <c r="H26" i="62"/>
  <c r="J26" i="62" s="1"/>
  <c r="N26" i="62" s="1"/>
  <c r="T52" i="48"/>
  <c r="O52" i="48"/>
  <c r="D52" i="7"/>
  <c r="G52" i="7" s="1"/>
  <c r="H52" i="7" s="1"/>
  <c r="H56" i="21"/>
  <c r="J56" i="21" s="1"/>
  <c r="N56" i="21" s="1"/>
  <c r="P46" i="57"/>
  <c r="Q46" i="57"/>
  <c r="R46" i="57" s="1"/>
  <c r="N10" i="56"/>
  <c r="S10" i="56"/>
  <c r="H40" i="48"/>
  <c r="J40" i="48" s="1"/>
  <c r="P10" i="62"/>
  <c r="Q10" i="62" s="1"/>
  <c r="R10" i="62" s="1"/>
  <c r="Z10" i="62" s="1"/>
  <c r="AA10" i="62" s="1"/>
  <c r="U17" i="57"/>
  <c r="V17" i="57"/>
  <c r="W17" i="57" s="1"/>
  <c r="P9" i="21"/>
  <c r="Q9" i="21" s="1"/>
  <c r="R9" i="21" s="1"/>
  <c r="H45" i="21"/>
  <c r="J45" i="21" s="1"/>
  <c r="S45" i="21" s="1"/>
  <c r="P25" i="57"/>
  <c r="Q25" i="57"/>
  <c r="R25" i="57" s="1"/>
  <c r="R18" i="21"/>
  <c r="Z18" i="21" s="1"/>
  <c r="AA18" i="21" s="1"/>
  <c r="T22" i="21"/>
  <c r="O22" i="21"/>
  <c r="D22" i="19"/>
  <c r="G22" i="19" s="1"/>
  <c r="H22" i="19" s="1"/>
  <c r="S31" i="21"/>
  <c r="N31" i="21"/>
  <c r="S19" i="56"/>
  <c r="H39" i="48"/>
  <c r="J39" i="48" s="1"/>
  <c r="P51" i="57"/>
  <c r="Q51" i="57"/>
  <c r="R51" i="57" s="1"/>
  <c r="U46" i="57"/>
  <c r="V46" i="57" s="1"/>
  <c r="W46" i="57" s="1"/>
  <c r="N56" i="2"/>
  <c r="S48" i="48"/>
  <c r="N48" i="48"/>
  <c r="U21" i="56"/>
  <c r="V21" i="56" s="1"/>
  <c r="W21" i="56" s="1"/>
  <c r="O46" i="2"/>
  <c r="D46" i="3"/>
  <c r="G46" i="3" s="1"/>
  <c r="H46" i="3" s="1"/>
  <c r="T46" i="2"/>
  <c r="T34" i="57"/>
  <c r="D34" i="59"/>
  <c r="G34" i="59" s="1"/>
  <c r="H34" i="59" s="1"/>
  <c r="O34" i="57"/>
  <c r="T50" i="62"/>
  <c r="O50" i="62"/>
  <c r="D50" i="63"/>
  <c r="G50" i="63" s="1"/>
  <c r="H50" i="63" s="1"/>
  <c r="T16" i="21"/>
  <c r="O16" i="21"/>
  <c r="D16" i="19"/>
  <c r="G16" i="19" s="1"/>
  <c r="H16" i="19" s="1"/>
  <c r="U14" i="62"/>
  <c r="V14" i="62"/>
  <c r="W14" i="62" s="1"/>
  <c r="S15" i="57"/>
  <c r="N15" i="57"/>
  <c r="U27" i="48"/>
  <c r="V27" i="48"/>
  <c r="W27" i="48" s="1"/>
  <c r="O29" i="56"/>
  <c r="T29" i="56"/>
  <c r="D29" i="58"/>
  <c r="G29" i="58" s="1"/>
  <c r="H29" i="58" s="1"/>
  <c r="A68" i="49" a="1"/>
  <c r="A68" i="49" s="1"/>
  <c r="O23" i="56"/>
  <c r="D23" i="58"/>
  <c r="G23" i="58" s="1"/>
  <c r="H23" i="58" s="1"/>
  <c r="T23" i="56"/>
  <c r="Q51" i="48"/>
  <c r="R51" i="48" s="1"/>
  <c r="P51" i="48"/>
  <c r="P22" i="56"/>
  <c r="Q22" i="56" s="1"/>
  <c r="R22" i="56" s="1"/>
  <c r="S44" i="57"/>
  <c r="N44" i="57"/>
  <c r="U38" i="57"/>
  <c r="V38" i="57" s="1"/>
  <c r="W38" i="57" s="1"/>
  <c r="H49" i="57"/>
  <c r="J49" i="57" s="1"/>
  <c r="A82" i="49" s="1" a="1"/>
  <c r="A82" i="49" s="1"/>
  <c r="O15" i="48"/>
  <c r="T15" i="48"/>
  <c r="D15" i="7"/>
  <c r="G15" i="7" s="1"/>
  <c r="H15" i="7" s="1"/>
  <c r="S55" i="62"/>
  <c r="N55" i="62"/>
  <c r="H55" i="62"/>
  <c r="J55" i="62" s="1"/>
  <c r="U9" i="21"/>
  <c r="V9" i="21" s="1"/>
  <c r="W9" i="21" s="1"/>
  <c r="U58" i="56"/>
  <c r="V58" i="56"/>
  <c r="W58" i="56" s="1"/>
  <c r="Z58" i="56" s="1"/>
  <c r="AA58" i="56" s="1"/>
  <c r="H28" i="48"/>
  <c r="J28" i="48" s="1"/>
  <c r="S28" i="48" s="1"/>
  <c r="O57" i="62"/>
  <c r="D57" i="63"/>
  <c r="G57" i="63" s="1"/>
  <c r="H57" i="63" s="1"/>
  <c r="T57" i="62"/>
  <c r="P31" i="57"/>
  <c r="Q31" i="57" s="1"/>
  <c r="R31" i="57" s="1"/>
  <c r="Z31" i="57" s="1"/>
  <c r="AA31" i="57" s="1"/>
  <c r="T15" i="2"/>
  <c r="D15" i="3"/>
  <c r="G15" i="3" s="1"/>
  <c r="H15" i="3" s="1"/>
  <c r="O15" i="2"/>
  <c r="K13" i="49"/>
  <c r="N36" i="21"/>
  <c r="S36" i="21"/>
  <c r="D22" i="63"/>
  <c r="G22" i="63" s="1"/>
  <c r="H22" i="63" s="1"/>
  <c r="N22" i="62"/>
  <c r="O22" i="62"/>
  <c r="T22" i="62"/>
  <c r="S34" i="57"/>
  <c r="S43" i="56"/>
  <c r="H43" i="56"/>
  <c r="J43" i="56" s="1"/>
  <c r="N43" i="56"/>
  <c r="P24" i="57"/>
  <c r="Q24" i="57"/>
  <c r="R24" i="57" s="1"/>
  <c r="Z24" i="57" s="1"/>
  <c r="AA24" i="57" s="1"/>
  <c r="P21" i="57"/>
  <c r="Q21" i="57"/>
  <c r="R21" i="57" s="1"/>
  <c r="Z21" i="57" s="1"/>
  <c r="AA21" i="57" s="1"/>
  <c r="U46" i="21"/>
  <c r="V46" i="21"/>
  <c r="W46" i="21" s="1"/>
  <c r="A91" i="49" a="1"/>
  <c r="A91" i="49" s="1"/>
  <c r="N39" i="62"/>
  <c r="S39" i="62"/>
  <c r="U51" i="57"/>
  <c r="V51" i="57" s="1"/>
  <c r="W51" i="57" s="1"/>
  <c r="D31" i="63"/>
  <c r="G31" i="63" s="1"/>
  <c r="H31" i="63" s="1"/>
  <c r="O31" i="62"/>
  <c r="T31" i="62"/>
  <c r="N41" i="2"/>
  <c r="S56" i="2"/>
  <c r="T10" i="56"/>
  <c r="O10" i="56"/>
  <c r="D10" i="58"/>
  <c r="G10" i="58" s="1"/>
  <c r="H10" i="58" s="1"/>
  <c r="U29" i="21"/>
  <c r="V29" i="21" s="1"/>
  <c r="W29" i="21" s="1"/>
  <c r="O47" i="56"/>
  <c r="T47" i="56"/>
  <c r="D47" i="58"/>
  <c r="G47" i="58" s="1"/>
  <c r="H47" i="58" s="1"/>
  <c r="D51" i="63"/>
  <c r="G51" i="63" s="1"/>
  <c r="H51" i="63" s="1"/>
  <c r="T51" i="62"/>
  <c r="O51" i="62"/>
  <c r="W19" i="62"/>
  <c r="Z19" i="62" s="1"/>
  <c r="AA19" i="62" s="1"/>
  <c r="N31" i="62"/>
  <c r="S31" i="62"/>
  <c r="U21" i="62"/>
  <c r="V21" i="62" s="1"/>
  <c r="W21" i="62" s="1"/>
  <c r="A66" i="49" a="1"/>
  <c r="A66" i="49" s="1"/>
  <c r="H24" i="21"/>
  <c r="J24" i="21" s="1"/>
  <c r="N24" i="21" s="1"/>
  <c r="P52" i="57"/>
  <c r="Q52" i="57" s="1"/>
  <c r="R52" i="57" s="1"/>
  <c r="Z52" i="57" s="1"/>
  <c r="AA52" i="57" s="1"/>
  <c r="H14" i="48"/>
  <c r="J14" i="48" s="1"/>
  <c r="A119" i="49" s="1" a="1"/>
  <c r="A119" i="49" s="1"/>
  <c r="O33" i="48"/>
  <c r="T33" i="48"/>
  <c r="D33" i="7"/>
  <c r="G33" i="7" s="1"/>
  <c r="H33" i="7" s="1"/>
  <c r="P30" i="48"/>
  <c r="Q30" i="48"/>
  <c r="R30" i="48" s="1"/>
  <c r="O53" i="21"/>
  <c r="D53" i="19"/>
  <c r="G53" i="19" s="1"/>
  <c r="H53" i="19" s="1"/>
  <c r="T53" i="21"/>
  <c r="S53" i="21"/>
  <c r="N53" i="21"/>
  <c r="P39" i="56"/>
  <c r="Q39" i="56" s="1"/>
  <c r="R39" i="56" s="1"/>
  <c r="Z39" i="56" s="1"/>
  <c r="AA39" i="56" s="1"/>
  <c r="A92" i="49" a="1"/>
  <c r="A92" i="49" s="1"/>
  <c r="O26" i="57"/>
  <c r="D26" i="59"/>
  <c r="G26" i="59" s="1"/>
  <c r="H26" i="59" s="1"/>
  <c r="T26" i="57"/>
  <c r="P28" i="56"/>
  <c r="Q28" i="56"/>
  <c r="R28" i="56" s="1"/>
  <c r="A77" i="49" a="1"/>
  <c r="A77" i="49" s="1"/>
  <c r="O11" i="57"/>
  <c r="T11" i="57"/>
  <c r="D11" i="59"/>
  <c r="G11" i="59" s="1"/>
  <c r="H11" i="59" s="1"/>
  <c r="Z10" i="21"/>
  <c r="AA10" i="21" s="1"/>
  <c r="S33" i="48"/>
  <c r="S54" i="56"/>
  <c r="N54" i="56"/>
  <c r="N9" i="48"/>
  <c r="S13" i="48"/>
  <c r="N13" i="48"/>
  <c r="O44" i="56"/>
  <c r="T44" i="56"/>
  <c r="D44" i="58"/>
  <c r="G44" i="58" s="1"/>
  <c r="H44" i="58" s="1"/>
  <c r="O49" i="56"/>
  <c r="T49" i="56"/>
  <c r="D49" i="58"/>
  <c r="G49" i="58" s="1"/>
  <c r="H49" i="58" s="1"/>
  <c r="O25" i="21"/>
  <c r="T25" i="21"/>
  <c r="D25" i="19"/>
  <c r="G25" i="19" s="1"/>
  <c r="H25" i="19" s="1"/>
  <c r="T41" i="2"/>
  <c r="O41" i="2"/>
  <c r="D41" i="3"/>
  <c r="G41" i="3" s="1"/>
  <c r="H41" i="3" s="1"/>
  <c r="S49" i="56"/>
  <c r="A21" i="49" a="1"/>
  <c r="A21" i="49" s="1"/>
  <c r="T19" i="2"/>
  <c r="A22" i="49" a="1"/>
  <c r="A22" i="49" s="1"/>
  <c r="O19" i="2"/>
  <c r="S19" i="2"/>
  <c r="D19" i="3"/>
  <c r="G19" i="3" s="1"/>
  <c r="H19" i="3" s="1"/>
  <c r="T39" i="21"/>
  <c r="O39" i="21"/>
  <c r="D39" i="19"/>
  <c r="G39" i="19" s="1"/>
  <c r="H39" i="19" s="1"/>
  <c r="V25" i="56"/>
  <c r="W25" i="56" s="1"/>
  <c r="U25" i="56"/>
  <c r="N57" i="62"/>
  <c r="S57" i="62"/>
  <c r="P11" i="2"/>
  <c r="Q11" i="2"/>
  <c r="R11" i="2" s="1"/>
  <c r="N54" i="21"/>
  <c r="O54" i="21"/>
  <c r="T54" i="21"/>
  <c r="D54" i="19"/>
  <c r="G54" i="19" s="1"/>
  <c r="H54" i="19" s="1"/>
  <c r="T18" i="57"/>
  <c r="O18" i="57"/>
  <c r="D18" i="59"/>
  <c r="G18" i="59" s="1"/>
  <c r="H18" i="59" s="1"/>
  <c r="O33" i="21"/>
  <c r="D33" i="19"/>
  <c r="G33" i="19" s="1"/>
  <c r="H33" i="19" s="1"/>
  <c r="T33" i="21"/>
  <c r="T48" i="21"/>
  <c r="D48" i="19"/>
  <c r="G48" i="19" s="1"/>
  <c r="H48" i="19" s="1"/>
  <c r="N48" i="21"/>
  <c r="O48" i="21"/>
  <c r="H15" i="62"/>
  <c r="J15" i="62" s="1"/>
  <c r="O13" i="56"/>
  <c r="A58" i="49" a="1"/>
  <c r="A58" i="49" s="1"/>
  <c r="T13" i="56"/>
  <c r="N13" i="56"/>
  <c r="D13" i="58"/>
  <c r="G13" i="58" s="1"/>
  <c r="H13" i="58" s="1"/>
  <c r="N32" i="57"/>
  <c r="S32" i="57"/>
  <c r="H32" i="57"/>
  <c r="J32" i="57" s="1"/>
  <c r="W18" i="56"/>
  <c r="Q21" i="56"/>
  <c r="R21" i="56" s="1"/>
  <c r="P21" i="56"/>
  <c r="H9" i="48"/>
  <c r="J9" i="48" s="1"/>
  <c r="P46" i="21"/>
  <c r="Q46" i="21"/>
  <c r="R46" i="21" s="1"/>
  <c r="P29" i="21"/>
  <c r="Q29" i="21" s="1"/>
  <c r="R29" i="21" s="1"/>
  <c r="Z29" i="21" s="1"/>
  <c r="AA29" i="21" s="1"/>
  <c r="S47" i="56"/>
  <c r="N47" i="56"/>
  <c r="P43" i="21"/>
  <c r="Q43" i="21" s="1"/>
  <c r="R43" i="21" s="1"/>
  <c r="Z43" i="21" s="1"/>
  <c r="AA43" i="21" s="1"/>
  <c r="P21" i="62"/>
  <c r="Q21" i="62" s="1"/>
  <c r="R21" i="62" s="1"/>
  <c r="O37" i="57"/>
  <c r="T37" i="57"/>
  <c r="D37" i="59"/>
  <c r="G37" i="59" s="1"/>
  <c r="H37" i="59" s="1"/>
  <c r="P11" i="62"/>
  <c r="Q11" i="62" s="1"/>
  <c r="R11" i="62" s="1"/>
  <c r="Z11" i="62" s="1"/>
  <c r="AA11" i="62" s="1"/>
  <c r="V53" i="56"/>
  <c r="W53" i="56" s="1"/>
  <c r="U53" i="56"/>
  <c r="P19" i="48"/>
  <c r="Q19" i="48"/>
  <c r="R19" i="48" s="1"/>
  <c r="Z19" i="48" s="1"/>
  <c r="AA19" i="48" s="1"/>
  <c r="Q187" i="49"/>
  <c r="A53" i="49"/>
  <c r="A188" i="49"/>
  <c r="A142" i="49"/>
  <c r="A11" i="49"/>
  <c r="A116" i="49"/>
  <c r="A257" i="49"/>
  <c r="A74" i="49"/>
  <c r="A211" i="49"/>
  <c r="A165" i="49"/>
  <c r="A32" i="49"/>
  <c r="Z40" i="21" l="1"/>
  <c r="AA40" i="21" s="1"/>
  <c r="B119" i="49"/>
  <c r="D119" i="49"/>
  <c r="C119" i="49"/>
  <c r="E119" i="49"/>
  <c r="F119" i="49"/>
  <c r="AB119" i="49" s="1"/>
  <c r="G119" i="49"/>
  <c r="K119" i="49"/>
  <c r="A260" i="49"/>
  <c r="A219" i="49"/>
  <c r="B82" i="49"/>
  <c r="K82" i="49"/>
  <c r="C82" i="49"/>
  <c r="D82" i="49"/>
  <c r="E82" i="49"/>
  <c r="F82" i="49"/>
  <c r="AB82" i="49" s="1"/>
  <c r="G82" i="49"/>
  <c r="B64" i="49"/>
  <c r="C64" i="49"/>
  <c r="A199" i="49"/>
  <c r="D64" i="49"/>
  <c r="E64" i="49"/>
  <c r="F64" i="49"/>
  <c r="AB64" i="49" s="1"/>
  <c r="K64" i="49"/>
  <c r="G64" i="49"/>
  <c r="Z15" i="21"/>
  <c r="AA15" i="21" s="1"/>
  <c r="G78" i="49"/>
  <c r="K78" i="49"/>
  <c r="A215" i="49"/>
  <c r="B78" i="49"/>
  <c r="C78" i="49"/>
  <c r="D78" i="49"/>
  <c r="E78" i="49"/>
  <c r="F78" i="49"/>
  <c r="Z16" i="2"/>
  <c r="AA16" i="2" s="1"/>
  <c r="Z22" i="56"/>
  <c r="AA22" i="56" s="1"/>
  <c r="K129" i="49"/>
  <c r="B129" i="49"/>
  <c r="F129" i="49"/>
  <c r="AB129" i="49" s="1"/>
  <c r="C129" i="49"/>
  <c r="A270" i="49"/>
  <c r="D129" i="49"/>
  <c r="E129" i="49"/>
  <c r="G129" i="49"/>
  <c r="Z9" i="21"/>
  <c r="AA9" i="21" s="1"/>
  <c r="E14" i="49"/>
  <c r="B14" i="49"/>
  <c r="G14" i="49"/>
  <c r="K14" i="49"/>
  <c r="A145" i="49"/>
  <c r="D14" i="49"/>
  <c r="C14" i="49"/>
  <c r="F14" i="49"/>
  <c r="E10" i="3"/>
  <c r="I10" i="3" s="1"/>
  <c r="K10" i="3" s="1"/>
  <c r="E43" i="3"/>
  <c r="I43" i="3" s="1"/>
  <c r="K43" i="3" s="1"/>
  <c r="Z21" i="62"/>
  <c r="AA21" i="62" s="1"/>
  <c r="B16" i="49"/>
  <c r="D16" i="49"/>
  <c r="E16" i="49"/>
  <c r="C16" i="49"/>
  <c r="K16" i="49"/>
  <c r="F16" i="49"/>
  <c r="A147" i="49"/>
  <c r="G16" i="49"/>
  <c r="P44" i="2"/>
  <c r="Q44" i="2"/>
  <c r="R44" i="2" s="1"/>
  <c r="Z38" i="21"/>
  <c r="AA38" i="21" s="1"/>
  <c r="U36" i="57"/>
  <c r="V36" i="57"/>
  <c r="W36" i="57" s="1"/>
  <c r="P48" i="48"/>
  <c r="Q48" i="48"/>
  <c r="R48" i="48" s="1"/>
  <c r="A42" i="49" a="1"/>
  <c r="A42" i="49" s="1"/>
  <c r="U37" i="48"/>
  <c r="V37" i="48"/>
  <c r="W37" i="48" s="1"/>
  <c r="A108" i="49" a="1"/>
  <c r="A108" i="49" s="1"/>
  <c r="E66" i="49"/>
  <c r="C66" i="49"/>
  <c r="G66" i="49"/>
  <c r="F66" i="49"/>
  <c r="K66" i="49"/>
  <c r="D66" i="49"/>
  <c r="A201" i="49"/>
  <c r="B66" i="49"/>
  <c r="U43" i="62"/>
  <c r="V43" i="62" s="1"/>
  <c r="W43" i="62" s="1"/>
  <c r="P37" i="57"/>
  <c r="Q37" i="57" s="1"/>
  <c r="R37" i="57" s="1"/>
  <c r="Z37" i="57" s="1"/>
  <c r="AA37" i="57" s="1"/>
  <c r="U47" i="56"/>
  <c r="V47" i="56"/>
  <c r="W47" i="56" s="1"/>
  <c r="V42" i="21"/>
  <c r="W42" i="21" s="1"/>
  <c r="U42" i="21"/>
  <c r="U20" i="62"/>
  <c r="V20" i="62" s="1"/>
  <c r="W20" i="62" s="1"/>
  <c r="Z35" i="57"/>
  <c r="AA35" i="57" s="1"/>
  <c r="P56" i="2"/>
  <c r="Q56" i="2"/>
  <c r="R56" i="2" s="1"/>
  <c r="U47" i="2"/>
  <c r="V47" i="2"/>
  <c r="W47" i="2" s="1"/>
  <c r="P35" i="56"/>
  <c r="Q35" i="56"/>
  <c r="R35" i="56" s="1"/>
  <c r="Z35" i="56" s="1"/>
  <c r="AA35" i="56" s="1"/>
  <c r="T38" i="2"/>
  <c r="D38" i="3"/>
  <c r="G38" i="3" s="1"/>
  <c r="H38" i="3" s="1"/>
  <c r="O38" i="2"/>
  <c r="O32" i="57"/>
  <c r="D32" i="59"/>
  <c r="G32" i="59" s="1"/>
  <c r="H32" i="59" s="1"/>
  <c r="T32" i="57"/>
  <c r="S24" i="21"/>
  <c r="P57" i="62"/>
  <c r="Q57" i="62" s="1"/>
  <c r="R57" i="62" s="1"/>
  <c r="Z57" i="62" s="1"/>
  <c r="AA57" i="62" s="1"/>
  <c r="V23" i="56"/>
  <c r="W23" i="56" s="1"/>
  <c r="U23" i="56"/>
  <c r="O40" i="48"/>
  <c r="T40" i="48"/>
  <c r="D40" i="7"/>
  <c r="G40" i="7" s="1"/>
  <c r="H40" i="7" s="1"/>
  <c r="U46" i="56"/>
  <c r="V46" i="56" s="1"/>
  <c r="W46" i="56" s="1"/>
  <c r="P25" i="48"/>
  <c r="Q25" i="48"/>
  <c r="R25" i="48" s="1"/>
  <c r="P47" i="2"/>
  <c r="Q47" i="2" s="1"/>
  <c r="R47" i="2" s="1"/>
  <c r="Z47" i="2" s="1"/>
  <c r="AA47" i="2" s="1"/>
  <c r="A112" i="49" a="1"/>
  <c r="A112" i="49" s="1"/>
  <c r="T25" i="62"/>
  <c r="O25" i="62"/>
  <c r="D25" i="63"/>
  <c r="G25" i="63" s="1"/>
  <c r="H25" i="63" s="1"/>
  <c r="U36" i="21"/>
  <c r="V36" i="21"/>
  <c r="W36" i="21" s="1"/>
  <c r="P13" i="48"/>
  <c r="Q13" i="48"/>
  <c r="R13" i="48" s="1"/>
  <c r="P11" i="48"/>
  <c r="Q11" i="48"/>
  <c r="R11" i="48" s="1"/>
  <c r="P36" i="57"/>
  <c r="Q36" i="57"/>
  <c r="R36" i="57" s="1"/>
  <c r="U20" i="21"/>
  <c r="V20" i="21" s="1"/>
  <c r="W20" i="21" s="1"/>
  <c r="U40" i="56"/>
  <c r="V40" i="56"/>
  <c r="W40" i="56" s="1"/>
  <c r="U48" i="48"/>
  <c r="V48" i="48"/>
  <c r="W48" i="48" s="1"/>
  <c r="A87" i="49" a="1"/>
  <c r="A87" i="49" s="1"/>
  <c r="U19" i="21"/>
  <c r="V19" i="21" s="1"/>
  <c r="W19" i="21" s="1"/>
  <c r="P24" i="62"/>
  <c r="Q24" i="62" s="1"/>
  <c r="R24" i="62" s="1"/>
  <c r="F93" i="49"/>
  <c r="K93" i="49"/>
  <c r="E93" i="49"/>
  <c r="C93" i="49"/>
  <c r="G93" i="49"/>
  <c r="A230" i="49"/>
  <c r="D93" i="49"/>
  <c r="B93" i="49"/>
  <c r="U25" i="2"/>
  <c r="V25" i="2"/>
  <c r="W25" i="2" s="1"/>
  <c r="U49" i="21"/>
  <c r="V49" i="21" s="1"/>
  <c r="W49" i="21" s="1"/>
  <c r="A118" i="49" a="1"/>
  <c r="A118" i="49" s="1"/>
  <c r="T10" i="48"/>
  <c r="O10" i="48"/>
  <c r="D10" i="7"/>
  <c r="G10" i="7" s="1"/>
  <c r="H10" i="7" s="1"/>
  <c r="P25" i="21"/>
  <c r="Q25" i="21"/>
  <c r="R25" i="21" s="1"/>
  <c r="P47" i="56"/>
  <c r="Q47" i="56"/>
  <c r="R47" i="56" s="1"/>
  <c r="Z47" i="56" s="1"/>
  <c r="AA47" i="56" s="1"/>
  <c r="A109" i="49" a="1"/>
  <c r="A109" i="49" s="1"/>
  <c r="U36" i="62"/>
  <c r="V36" i="62" s="1"/>
  <c r="W36" i="62" s="1"/>
  <c r="N27" i="21"/>
  <c r="Z51" i="48"/>
  <c r="AA51" i="48" s="1"/>
  <c r="U52" i="2"/>
  <c r="V52" i="2" s="1"/>
  <c r="W52" i="2" s="1"/>
  <c r="P39" i="21"/>
  <c r="Q39" i="21"/>
  <c r="R39" i="21" s="1"/>
  <c r="Z39" i="21" s="1"/>
  <c r="AA39" i="21" s="1"/>
  <c r="N28" i="48"/>
  <c r="U56" i="2"/>
  <c r="V56" i="2" s="1"/>
  <c r="W56" i="2" s="1"/>
  <c r="U27" i="57"/>
  <c r="V27" i="57"/>
  <c r="W27" i="57" s="1"/>
  <c r="U28" i="62"/>
  <c r="V28" i="62" s="1"/>
  <c r="W28" i="62" s="1"/>
  <c r="A133" i="49" a="1"/>
  <c r="A133" i="49" s="1"/>
  <c r="O48" i="2"/>
  <c r="T48" i="2"/>
  <c r="D48" i="3"/>
  <c r="G48" i="3" s="1"/>
  <c r="H48" i="3" s="1"/>
  <c r="U14" i="56"/>
  <c r="V14" i="56" s="1"/>
  <c r="W14" i="56" s="1"/>
  <c r="U13" i="48"/>
  <c r="V13" i="48" s="1"/>
  <c r="W13" i="48" s="1"/>
  <c r="S38" i="2"/>
  <c r="A38" i="49" a="1"/>
  <c r="A38" i="49" s="1"/>
  <c r="P20" i="21"/>
  <c r="Q20" i="21" s="1"/>
  <c r="R20" i="21" s="1"/>
  <c r="P40" i="56"/>
  <c r="Q40" i="56"/>
  <c r="R40" i="56" s="1"/>
  <c r="Z40" i="56" s="1"/>
  <c r="AA40" i="56" s="1"/>
  <c r="A15" i="49" a="1"/>
  <c r="A15" i="49" s="1"/>
  <c r="E37" i="3" s="1"/>
  <c r="I37" i="3" s="1"/>
  <c r="K37" i="3" s="1"/>
  <c r="P19" i="21"/>
  <c r="Q19" i="21"/>
  <c r="R19" i="21" s="1"/>
  <c r="E24" i="49"/>
  <c r="C24" i="49"/>
  <c r="A155" i="49"/>
  <c r="B24" i="49"/>
  <c r="G24" i="49"/>
  <c r="D24" i="49"/>
  <c r="K24" i="49"/>
  <c r="F24" i="49"/>
  <c r="AB24" i="49" s="1"/>
  <c r="A43" i="49" a="1"/>
  <c r="A43" i="49" s="1"/>
  <c r="U24" i="62"/>
  <c r="V24" i="62" s="1"/>
  <c r="W24" i="62" s="1"/>
  <c r="E111" i="49"/>
  <c r="F111" i="49"/>
  <c r="AB111" i="49" s="1"/>
  <c r="B111" i="49"/>
  <c r="C111" i="49"/>
  <c r="A250" i="49"/>
  <c r="D111" i="49"/>
  <c r="G111" i="49"/>
  <c r="K111" i="49"/>
  <c r="D23" i="49"/>
  <c r="A154" i="49"/>
  <c r="C23" i="49"/>
  <c r="G23" i="49"/>
  <c r="F23" i="49"/>
  <c r="AB23" i="49" s="1"/>
  <c r="E23" i="49"/>
  <c r="K23" i="49"/>
  <c r="B23" i="49"/>
  <c r="A61" i="49" a="1"/>
  <c r="A61" i="49" s="1"/>
  <c r="F89" i="49"/>
  <c r="AB89" i="49" s="1"/>
  <c r="D89" i="49"/>
  <c r="K89" i="49"/>
  <c r="E89" i="49"/>
  <c r="C89" i="49"/>
  <c r="A226" i="49"/>
  <c r="G89" i="49"/>
  <c r="B89" i="49"/>
  <c r="U41" i="21"/>
  <c r="V41" i="21"/>
  <c r="W41" i="21" s="1"/>
  <c r="A120" i="49" a="1"/>
  <c r="A120" i="49" s="1"/>
  <c r="U45" i="62"/>
  <c r="V45" i="62"/>
  <c r="W45" i="62" s="1"/>
  <c r="P49" i="21"/>
  <c r="Q49" i="21" s="1"/>
  <c r="R49" i="21" s="1"/>
  <c r="Z49" i="21" s="1"/>
  <c r="AA49" i="21" s="1"/>
  <c r="P10" i="2"/>
  <c r="Q10" i="2"/>
  <c r="R10" i="2" s="1"/>
  <c r="U17" i="56"/>
  <c r="V17" i="56" s="1"/>
  <c r="W17" i="56" s="1"/>
  <c r="Q9" i="62"/>
  <c r="R9" i="62" s="1"/>
  <c r="P9" i="62"/>
  <c r="U51" i="2"/>
  <c r="V51" i="2"/>
  <c r="W51" i="2" s="1"/>
  <c r="P24" i="2"/>
  <c r="Q24" i="2"/>
  <c r="R24" i="2" s="1"/>
  <c r="Z24" i="2" s="1"/>
  <c r="AA24" i="2" s="1"/>
  <c r="V54" i="57"/>
  <c r="W54" i="57" s="1"/>
  <c r="U54" i="57"/>
  <c r="D57" i="49"/>
  <c r="G57" i="49"/>
  <c r="K57" i="49"/>
  <c r="A192" i="49"/>
  <c r="B57" i="49"/>
  <c r="C57" i="49"/>
  <c r="E57" i="49"/>
  <c r="F57" i="49"/>
  <c r="AB57" i="49" s="1"/>
  <c r="Z51" i="57"/>
  <c r="AA51" i="57" s="1"/>
  <c r="P12" i="48"/>
  <c r="Q12" i="48" s="1"/>
  <c r="R12" i="48" s="1"/>
  <c r="Z12" i="48" s="1"/>
  <c r="AA12" i="48" s="1"/>
  <c r="P45" i="62"/>
  <c r="Q45" i="62"/>
  <c r="R45" i="62" s="1"/>
  <c r="G28" i="49"/>
  <c r="C28" i="49"/>
  <c r="E28" i="49"/>
  <c r="A159" i="49"/>
  <c r="D28" i="49"/>
  <c r="F28" i="49"/>
  <c r="B28" i="49"/>
  <c r="K28" i="49"/>
  <c r="Q15" i="57"/>
  <c r="R15" i="57" s="1"/>
  <c r="P15" i="57"/>
  <c r="F59" i="49"/>
  <c r="G59" i="49"/>
  <c r="K59" i="49"/>
  <c r="A194" i="49"/>
  <c r="B59" i="49"/>
  <c r="C59" i="49"/>
  <c r="D59" i="49"/>
  <c r="E59" i="49"/>
  <c r="U30" i="56"/>
  <c r="V30" i="56"/>
  <c r="W30" i="56" s="1"/>
  <c r="P51" i="2"/>
  <c r="Q51" i="2" s="1"/>
  <c r="R51" i="2" s="1"/>
  <c r="Z51" i="2" s="1"/>
  <c r="AA51" i="2" s="1"/>
  <c r="P19" i="2"/>
  <c r="Q19" i="2"/>
  <c r="R19" i="2" s="1"/>
  <c r="Z19" i="2" s="1"/>
  <c r="AA19" i="2" s="1"/>
  <c r="U29" i="56"/>
  <c r="V29" i="56" s="1"/>
  <c r="W29" i="56" s="1"/>
  <c r="K60" i="49"/>
  <c r="E60" i="49"/>
  <c r="F60" i="49"/>
  <c r="AB60" i="49" s="1"/>
  <c r="G60" i="49"/>
  <c r="C60" i="49"/>
  <c r="D60" i="49"/>
  <c r="A195" i="49"/>
  <c r="B60" i="49"/>
  <c r="Z38" i="57"/>
  <c r="AA38" i="57" s="1"/>
  <c r="U36" i="2"/>
  <c r="V36" i="2"/>
  <c r="W36" i="2" s="1"/>
  <c r="A103" i="49" a="1"/>
  <c r="A103" i="49" s="1"/>
  <c r="T16" i="62"/>
  <c r="O16" i="62"/>
  <c r="D16" i="63"/>
  <c r="G16" i="63" s="1"/>
  <c r="H16" i="63" s="1"/>
  <c r="U11" i="57"/>
  <c r="V11" i="57" s="1"/>
  <c r="W11" i="57" s="1"/>
  <c r="P44" i="21"/>
  <c r="Q44" i="21" s="1"/>
  <c r="R44" i="21" s="1"/>
  <c r="Z44" i="21" s="1"/>
  <c r="AA44" i="21" s="1"/>
  <c r="P11" i="57"/>
  <c r="Q11" i="57"/>
  <c r="R11" i="57" s="1"/>
  <c r="D39" i="7"/>
  <c r="G39" i="7" s="1"/>
  <c r="H39" i="7" s="1"/>
  <c r="O39" i="48"/>
  <c r="T39" i="48"/>
  <c r="U44" i="21"/>
  <c r="V44" i="21"/>
  <c r="W44" i="21" s="1"/>
  <c r="C29" i="49"/>
  <c r="G29" i="49"/>
  <c r="K29" i="49"/>
  <c r="D29" i="49"/>
  <c r="F29" i="49"/>
  <c r="AB29" i="49" s="1"/>
  <c r="A160" i="49"/>
  <c r="B29" i="49"/>
  <c r="E29" i="49"/>
  <c r="A67" i="49" a="1"/>
  <c r="A67" i="49" s="1"/>
  <c r="S39" i="48"/>
  <c r="U52" i="48"/>
  <c r="V52" i="48"/>
  <c r="W52" i="48" s="1"/>
  <c r="A69" i="49" a="1"/>
  <c r="A69" i="49" s="1"/>
  <c r="U50" i="57"/>
  <c r="V50" i="57"/>
  <c r="W50" i="57" s="1"/>
  <c r="A47" i="49" a="1"/>
  <c r="A47" i="49" s="1"/>
  <c r="O12" i="49"/>
  <c r="P12" i="49" s="1"/>
  <c r="R12" i="49" s="1"/>
  <c r="S12" i="49" s="1"/>
  <c r="E14" i="3" s="1"/>
  <c r="I14" i="3" s="1"/>
  <c r="K14" i="3" s="1"/>
  <c r="S26" i="48"/>
  <c r="A132" i="49" a="1"/>
  <c r="A132" i="49" s="1"/>
  <c r="P13" i="21"/>
  <c r="Q13" i="21" s="1"/>
  <c r="R13" i="21" s="1"/>
  <c r="Z13" i="21" s="1"/>
  <c r="AA13" i="21" s="1"/>
  <c r="A83" i="49" a="1"/>
  <c r="A83" i="49" s="1"/>
  <c r="U29" i="57"/>
  <c r="V29" i="57" s="1"/>
  <c r="W29" i="57" s="1"/>
  <c r="P54" i="62"/>
  <c r="Q54" i="62"/>
  <c r="R54" i="62" s="1"/>
  <c r="P50" i="2"/>
  <c r="Q50" i="2"/>
  <c r="R50" i="2" s="1"/>
  <c r="P42" i="48"/>
  <c r="Q42" i="48"/>
  <c r="R42" i="48" s="1"/>
  <c r="P48" i="21"/>
  <c r="Q48" i="21" s="1"/>
  <c r="R48" i="21" s="1"/>
  <c r="Z48" i="21" s="1"/>
  <c r="AA48" i="21" s="1"/>
  <c r="U26" i="57"/>
  <c r="V26" i="57"/>
  <c r="W26" i="57" s="1"/>
  <c r="O43" i="56"/>
  <c r="T43" i="56"/>
  <c r="D43" i="58"/>
  <c r="G43" i="58" s="1"/>
  <c r="H43" i="58" s="1"/>
  <c r="O55" i="62"/>
  <c r="T55" i="62"/>
  <c r="D55" i="63"/>
  <c r="G55" i="63" s="1"/>
  <c r="H55" i="63" s="1"/>
  <c r="U43" i="57"/>
  <c r="V43" i="57" s="1"/>
  <c r="W43" i="57" s="1"/>
  <c r="V12" i="49"/>
  <c r="X12" i="49" s="1"/>
  <c r="W12" i="49"/>
  <c r="Y12" i="49" s="1"/>
  <c r="U37" i="2"/>
  <c r="V37" i="2" s="1"/>
  <c r="W37" i="2" s="1"/>
  <c r="U13" i="21"/>
  <c r="V13" i="21"/>
  <c r="W13" i="21" s="1"/>
  <c r="P39" i="62"/>
  <c r="Q39" i="62" s="1"/>
  <c r="R39" i="62" s="1"/>
  <c r="Z39" i="62" s="1"/>
  <c r="AA39" i="62" s="1"/>
  <c r="T56" i="57"/>
  <c r="O56" i="57"/>
  <c r="D56" i="59"/>
  <c r="G56" i="59" s="1"/>
  <c r="H56" i="59" s="1"/>
  <c r="P37" i="62"/>
  <c r="Q37" i="62"/>
  <c r="R37" i="62" s="1"/>
  <c r="Q46" i="62"/>
  <c r="R46" i="62" s="1"/>
  <c r="P46" i="62"/>
  <c r="U56" i="48"/>
  <c r="V56" i="48" s="1"/>
  <c r="W56" i="48" s="1"/>
  <c r="U53" i="57"/>
  <c r="V53" i="57"/>
  <c r="W53" i="57" s="1"/>
  <c r="A152" i="49"/>
  <c r="E21" i="49"/>
  <c r="F21" i="49"/>
  <c r="AB21" i="49" s="1"/>
  <c r="G21" i="49"/>
  <c r="K21" i="49"/>
  <c r="C21" i="49"/>
  <c r="B21" i="49"/>
  <c r="D21" i="49"/>
  <c r="P52" i="48"/>
  <c r="Q52" i="48"/>
  <c r="R52" i="48" s="1"/>
  <c r="Z52" i="48" s="1"/>
  <c r="AA52" i="48" s="1"/>
  <c r="U24" i="56"/>
  <c r="V24" i="56"/>
  <c r="W24" i="56" s="1"/>
  <c r="P43" i="57"/>
  <c r="Q43" i="57" s="1"/>
  <c r="R43" i="57" s="1"/>
  <c r="P35" i="21"/>
  <c r="Q35" i="21" s="1"/>
  <c r="R35" i="21" s="1"/>
  <c r="Z35" i="21" s="1"/>
  <c r="AA35" i="21" s="1"/>
  <c r="A134" i="49" a="1"/>
  <c r="A134" i="49" s="1"/>
  <c r="O26" i="48"/>
  <c r="T26" i="48"/>
  <c r="D26" i="7"/>
  <c r="G26" i="7" s="1"/>
  <c r="H26" i="7" s="1"/>
  <c r="A130" i="49" a="1"/>
  <c r="A130" i="49" s="1"/>
  <c r="P21" i="48"/>
  <c r="Q21" i="48" s="1"/>
  <c r="R21" i="48" s="1"/>
  <c r="Z21" i="48" s="1"/>
  <c r="AA21" i="48" s="1"/>
  <c r="P41" i="57"/>
  <c r="Q41" i="57" s="1"/>
  <c r="R41" i="57" s="1"/>
  <c r="Z41" i="57" s="1"/>
  <c r="AA41" i="57" s="1"/>
  <c r="A126" i="49" a="1"/>
  <c r="A126" i="49" s="1"/>
  <c r="U50" i="2"/>
  <c r="V50" i="2" s="1"/>
  <c r="W50" i="2" s="1"/>
  <c r="A102" i="49" a="1"/>
  <c r="A102" i="49" s="1"/>
  <c r="D15" i="63"/>
  <c r="G15" i="63" s="1"/>
  <c r="H15" i="63" s="1"/>
  <c r="O15" i="62"/>
  <c r="T15" i="62"/>
  <c r="A101" i="49" a="1"/>
  <c r="A101" i="49" s="1"/>
  <c r="A113" i="49" a="1"/>
  <c r="A113" i="49" s="1"/>
  <c r="O26" i="62"/>
  <c r="T26" i="62"/>
  <c r="D26" i="63"/>
  <c r="G26" i="63" s="1"/>
  <c r="H26" i="63" s="1"/>
  <c r="O50" i="48"/>
  <c r="T50" i="48"/>
  <c r="D50" i="7"/>
  <c r="G50" i="7" s="1"/>
  <c r="H50" i="7" s="1"/>
  <c r="Z9" i="57"/>
  <c r="AA9" i="57" s="1"/>
  <c r="F62" i="49"/>
  <c r="G62" i="49"/>
  <c r="D62" i="49"/>
  <c r="E62" i="49"/>
  <c r="B62" i="49"/>
  <c r="A197" i="49"/>
  <c r="C62" i="49"/>
  <c r="K62" i="49"/>
  <c r="Z28" i="56"/>
  <c r="AA28" i="56" s="1"/>
  <c r="A45" i="49" a="1"/>
  <c r="A45" i="49" s="1"/>
  <c r="V39" i="62"/>
  <c r="W39" i="62" s="1"/>
  <c r="U39" i="62"/>
  <c r="U32" i="56"/>
  <c r="V32" i="56" s="1"/>
  <c r="W32" i="56" s="1"/>
  <c r="P37" i="2"/>
  <c r="Q37" i="2" s="1"/>
  <c r="R37" i="2" s="1"/>
  <c r="A37" i="49" a="1"/>
  <c r="A37" i="49" s="1"/>
  <c r="P43" i="48"/>
  <c r="Q43" i="48" s="1"/>
  <c r="R43" i="48" s="1"/>
  <c r="U19" i="57"/>
  <c r="V19" i="57" s="1"/>
  <c r="W19" i="57" s="1"/>
  <c r="U37" i="21"/>
  <c r="V37" i="21"/>
  <c r="W37" i="21" s="1"/>
  <c r="V46" i="62"/>
  <c r="W46" i="62" s="1"/>
  <c r="U46" i="62"/>
  <c r="U54" i="62"/>
  <c r="V54" i="62" s="1"/>
  <c r="W54" i="62" s="1"/>
  <c r="P57" i="57"/>
  <c r="Q57" i="57"/>
  <c r="R57" i="57" s="1"/>
  <c r="Z57" i="57" s="1"/>
  <c r="AA57" i="57" s="1"/>
  <c r="U52" i="62"/>
  <c r="V52" i="62"/>
  <c r="W52" i="62" s="1"/>
  <c r="P41" i="2"/>
  <c r="Q41" i="2"/>
  <c r="R41" i="2" s="1"/>
  <c r="P26" i="57"/>
  <c r="Q26" i="57"/>
  <c r="R26" i="57" s="1"/>
  <c r="Z26" i="57" s="1"/>
  <c r="AA26" i="57" s="1"/>
  <c r="P51" i="62"/>
  <c r="Q51" i="62"/>
  <c r="R51" i="62" s="1"/>
  <c r="U27" i="56"/>
  <c r="V27" i="56"/>
  <c r="W27" i="56" s="1"/>
  <c r="P20" i="57"/>
  <c r="Q20" i="57"/>
  <c r="R20" i="57" s="1"/>
  <c r="N50" i="48"/>
  <c r="P32" i="56"/>
  <c r="Q32" i="56" s="1"/>
  <c r="R32" i="56" s="1"/>
  <c r="U43" i="2"/>
  <c r="V43" i="2"/>
  <c r="W43" i="2" s="1"/>
  <c r="U47" i="48"/>
  <c r="V47" i="48" s="1"/>
  <c r="W47" i="48" s="1"/>
  <c r="P19" i="57"/>
  <c r="Q19" i="57"/>
  <c r="R19" i="57" s="1"/>
  <c r="P29" i="57"/>
  <c r="Q29" i="57"/>
  <c r="R29" i="57" s="1"/>
  <c r="U37" i="62"/>
  <c r="V37" i="62"/>
  <c r="W37" i="62" s="1"/>
  <c r="U57" i="57"/>
  <c r="V57" i="57"/>
  <c r="W57" i="57" s="1"/>
  <c r="P56" i="48"/>
  <c r="Q56" i="48"/>
  <c r="R56" i="48" s="1"/>
  <c r="P53" i="57"/>
  <c r="Q53" i="57"/>
  <c r="R53" i="57" s="1"/>
  <c r="P52" i="62"/>
  <c r="Q52" i="62" s="1"/>
  <c r="R52" i="62" s="1"/>
  <c r="Z52" i="62" s="1"/>
  <c r="AA52" i="62" s="1"/>
  <c r="A229" i="49"/>
  <c r="E92" i="49"/>
  <c r="G92" i="49"/>
  <c r="D92" i="49"/>
  <c r="K92" i="49"/>
  <c r="F92" i="49"/>
  <c r="C92" i="49"/>
  <c r="B92" i="49"/>
  <c r="S26" i="62"/>
  <c r="P43" i="2"/>
  <c r="Q43" i="2"/>
  <c r="R43" i="2" s="1"/>
  <c r="Z43" i="2" s="1"/>
  <c r="AA43" i="2" s="1"/>
  <c r="A85" i="49" a="1"/>
  <c r="A85" i="49" s="1"/>
  <c r="P37" i="21"/>
  <c r="Q37" i="21" s="1"/>
  <c r="R37" i="21" s="1"/>
  <c r="Z37" i="21" s="1"/>
  <c r="AA37" i="21" s="1"/>
  <c r="U36" i="48"/>
  <c r="V36" i="48"/>
  <c r="W36" i="48" s="1"/>
  <c r="Z14" i="62"/>
  <c r="AA14" i="62" s="1"/>
  <c r="U57" i="2"/>
  <c r="V57" i="2" s="1"/>
  <c r="W57" i="2" s="1"/>
  <c r="F94" i="49"/>
  <c r="E94" i="49"/>
  <c r="A231" i="49"/>
  <c r="D94" i="49"/>
  <c r="G94" i="49"/>
  <c r="B94" i="49"/>
  <c r="C94" i="49"/>
  <c r="K94" i="49"/>
  <c r="U41" i="57"/>
  <c r="V41" i="57" s="1"/>
  <c r="W41" i="57" s="1"/>
  <c r="U42" i="48"/>
  <c r="V42" i="48"/>
  <c r="W42" i="48" s="1"/>
  <c r="P13" i="56"/>
  <c r="Q13" i="56" s="1"/>
  <c r="R13" i="56" s="1"/>
  <c r="Z13" i="56" s="1"/>
  <c r="AA13" i="56" s="1"/>
  <c r="N39" i="48"/>
  <c r="P23" i="21"/>
  <c r="Q23" i="21"/>
  <c r="R23" i="21" s="1"/>
  <c r="Z23" i="21" s="1"/>
  <c r="AA23" i="21" s="1"/>
  <c r="Q24" i="48"/>
  <c r="R24" i="48" s="1"/>
  <c r="P24" i="48"/>
  <c r="U24" i="2"/>
  <c r="V24" i="2"/>
  <c r="W24" i="2" s="1"/>
  <c r="U48" i="21"/>
  <c r="V48" i="21"/>
  <c r="W48" i="21" s="1"/>
  <c r="U41" i="2"/>
  <c r="V41" i="2" s="1"/>
  <c r="W41" i="2" s="1"/>
  <c r="U51" i="62"/>
  <c r="V51" i="62" s="1"/>
  <c r="W51" i="62" s="1"/>
  <c r="Z50" i="56"/>
  <c r="AA50" i="56" s="1"/>
  <c r="U33" i="2"/>
  <c r="V33" i="2"/>
  <c r="W33" i="2" s="1"/>
  <c r="P27" i="56"/>
  <c r="Q27" i="56"/>
  <c r="R27" i="56" s="1"/>
  <c r="A131" i="49" a="1"/>
  <c r="A131" i="49" s="1"/>
  <c r="S50" i="48"/>
  <c r="D52" i="19"/>
  <c r="G52" i="19" s="1"/>
  <c r="H52" i="19" s="1"/>
  <c r="O52" i="21"/>
  <c r="T52" i="21"/>
  <c r="U33" i="21"/>
  <c r="V33" i="21"/>
  <c r="W33" i="21" s="1"/>
  <c r="U22" i="62"/>
  <c r="V22" i="62" s="1"/>
  <c r="W22" i="62" s="1"/>
  <c r="P33" i="2"/>
  <c r="Q33" i="2"/>
  <c r="R33" i="2" s="1"/>
  <c r="Z33" i="2" s="1"/>
  <c r="AA33" i="2" s="1"/>
  <c r="A72" i="49" a="1"/>
  <c r="A72" i="49" s="1"/>
  <c r="P42" i="21"/>
  <c r="Q42" i="21"/>
  <c r="R42" i="21" s="1"/>
  <c r="Z42" i="21" s="1"/>
  <c r="AA42" i="21" s="1"/>
  <c r="P47" i="48"/>
  <c r="Q47" i="48" s="1"/>
  <c r="R47" i="48" s="1"/>
  <c r="Z47" i="48" s="1"/>
  <c r="AA47" i="48" s="1"/>
  <c r="P34" i="21"/>
  <c r="Q34" i="21"/>
  <c r="R34" i="21" s="1"/>
  <c r="P46" i="48"/>
  <c r="Q46" i="48"/>
  <c r="R46" i="48" s="1"/>
  <c r="S10" i="48"/>
  <c r="P57" i="2"/>
  <c r="Q57" i="2"/>
  <c r="R57" i="2" s="1"/>
  <c r="G22" i="49"/>
  <c r="F22" i="49"/>
  <c r="AB22" i="49" s="1"/>
  <c r="K22" i="49"/>
  <c r="E22" i="49"/>
  <c r="C22" i="49"/>
  <c r="D22" i="49"/>
  <c r="B22" i="49"/>
  <c r="A153" i="49"/>
  <c r="U54" i="48"/>
  <c r="V54" i="48"/>
  <c r="W54" i="48" s="1"/>
  <c r="P30" i="56"/>
  <c r="Q30" i="56"/>
  <c r="R30" i="56" s="1"/>
  <c r="C58" i="49"/>
  <c r="D58" i="49"/>
  <c r="E58" i="49"/>
  <c r="G58" i="49"/>
  <c r="F58" i="49"/>
  <c r="K58" i="49"/>
  <c r="A193" i="49"/>
  <c r="B58" i="49"/>
  <c r="E88" i="49"/>
  <c r="G88" i="49"/>
  <c r="K88" i="49"/>
  <c r="D88" i="49"/>
  <c r="F88" i="49"/>
  <c r="AB88" i="49" s="1"/>
  <c r="B88" i="49"/>
  <c r="C88" i="49"/>
  <c r="A225" i="49"/>
  <c r="U19" i="2"/>
  <c r="V19" i="2"/>
  <c r="W19" i="2" s="1"/>
  <c r="F27" i="49"/>
  <c r="AB27" i="49" s="1"/>
  <c r="C27" i="49"/>
  <c r="E27" i="49"/>
  <c r="B27" i="49"/>
  <c r="A158" i="49"/>
  <c r="G27" i="49"/>
  <c r="D27" i="49"/>
  <c r="K27" i="49"/>
  <c r="V23" i="21"/>
  <c r="W23" i="21" s="1"/>
  <c r="U23" i="21"/>
  <c r="U43" i="48"/>
  <c r="V43" i="48" s="1"/>
  <c r="W43" i="48" s="1"/>
  <c r="B73" i="49"/>
  <c r="A208" i="49"/>
  <c r="K73" i="49"/>
  <c r="G73" i="49"/>
  <c r="D73" i="49"/>
  <c r="C73" i="49"/>
  <c r="F73" i="49"/>
  <c r="E73" i="49"/>
  <c r="A49" i="49" a="1"/>
  <c r="A49" i="49" s="1"/>
  <c r="U22" i="21"/>
  <c r="V22" i="21" s="1"/>
  <c r="W22" i="21" s="1"/>
  <c r="A40" i="49" a="1"/>
  <c r="A40" i="49" s="1"/>
  <c r="Z57" i="21"/>
  <c r="AA57" i="21" s="1"/>
  <c r="U53" i="21"/>
  <c r="V53" i="21" s="1"/>
  <c r="W53" i="21" s="1"/>
  <c r="P35" i="48"/>
  <c r="Q35" i="48" s="1"/>
  <c r="R35" i="48" s="1"/>
  <c r="Z35" i="48" s="1"/>
  <c r="AA35" i="48" s="1"/>
  <c r="S15" i="62"/>
  <c r="P40" i="57"/>
  <c r="Q40" i="57" s="1"/>
  <c r="R40" i="57" s="1"/>
  <c r="N45" i="56"/>
  <c r="T30" i="2"/>
  <c r="D30" i="3"/>
  <c r="G30" i="3" s="1"/>
  <c r="H30" i="3" s="1"/>
  <c r="O30" i="2"/>
  <c r="A25" i="49" a="1"/>
  <c r="A25" i="49" s="1"/>
  <c r="A30" i="49" a="1"/>
  <c r="A30" i="49" s="1"/>
  <c r="P16" i="57"/>
  <c r="Q16" i="57"/>
  <c r="R16" i="57" s="1"/>
  <c r="B75" i="49"/>
  <c r="F75" i="49"/>
  <c r="AB75" i="49" s="1"/>
  <c r="C75" i="49"/>
  <c r="D75" i="49"/>
  <c r="E21" i="59"/>
  <c r="I21" i="59" s="1"/>
  <c r="K21" i="59" s="1"/>
  <c r="E75" i="49"/>
  <c r="K75" i="49"/>
  <c r="A212" i="49"/>
  <c r="G75" i="49"/>
  <c r="E32" i="59"/>
  <c r="I32" i="59" s="1"/>
  <c r="K32" i="59" s="1"/>
  <c r="E53" i="59"/>
  <c r="I53" i="59" s="1"/>
  <c r="K53" i="59" s="1"/>
  <c r="E20" i="59"/>
  <c r="I20" i="59" s="1"/>
  <c r="K20" i="59" s="1"/>
  <c r="Z25" i="57"/>
  <c r="AA25" i="57" s="1"/>
  <c r="S56" i="21"/>
  <c r="A84" i="49" a="1"/>
  <c r="A84" i="49" s="1"/>
  <c r="E10" i="59" s="1"/>
  <c r="I10" i="59" s="1"/>
  <c r="K10" i="59" s="1"/>
  <c r="P50" i="62"/>
  <c r="Q50" i="62" s="1"/>
  <c r="R50" i="62" s="1"/>
  <c r="Z50" i="62" s="1"/>
  <c r="AA50" i="62" s="1"/>
  <c r="N15" i="62"/>
  <c r="U58" i="21"/>
  <c r="V58" i="21" s="1"/>
  <c r="W58" i="21" s="1"/>
  <c r="Z35" i="62"/>
  <c r="AA35" i="62" s="1"/>
  <c r="U47" i="62"/>
  <c r="V47" i="62" s="1"/>
  <c r="W47" i="62" s="1"/>
  <c r="D79" i="49"/>
  <c r="E79" i="49"/>
  <c r="F79" i="49"/>
  <c r="G79" i="49"/>
  <c r="B79" i="49"/>
  <c r="C79" i="49"/>
  <c r="K79" i="49"/>
  <c r="A216" i="49"/>
  <c r="T49" i="57"/>
  <c r="O49" i="57"/>
  <c r="D49" i="59"/>
  <c r="G49" i="59" s="1"/>
  <c r="H49" i="59" s="1"/>
  <c r="A107" i="49" a="1"/>
  <c r="A107" i="49" s="1"/>
  <c r="P43" i="62"/>
  <c r="Q43" i="62"/>
  <c r="R43" i="62" s="1"/>
  <c r="P10" i="56"/>
  <c r="Q10" i="56"/>
  <c r="R10" i="56" s="1"/>
  <c r="Z10" i="56" s="1"/>
  <c r="AA10" i="56" s="1"/>
  <c r="S49" i="57"/>
  <c r="U50" i="62"/>
  <c r="V50" i="62"/>
  <c r="W50" i="62" s="1"/>
  <c r="N45" i="21"/>
  <c r="A90" i="49" a="1"/>
  <c r="A90" i="49" s="1"/>
  <c r="U47" i="57"/>
  <c r="V47" i="57"/>
  <c r="W47" i="57" s="1"/>
  <c r="Q19" i="56"/>
  <c r="R19" i="56" s="1"/>
  <c r="P19" i="56"/>
  <c r="Z51" i="56"/>
  <c r="AA51" i="56" s="1"/>
  <c r="A35" i="49" a="1"/>
  <c r="A35" i="49" s="1"/>
  <c r="O11" i="21"/>
  <c r="T11" i="21"/>
  <c r="D11" i="19"/>
  <c r="G11" i="19" s="1"/>
  <c r="H11" i="19" s="1"/>
  <c r="A34" i="49" a="1"/>
  <c r="A34" i="49" s="1"/>
  <c r="A33" i="49" a="1"/>
  <c r="A33" i="49" s="1"/>
  <c r="A124" i="49" a="1"/>
  <c r="A124" i="49" s="1"/>
  <c r="U47" i="21"/>
  <c r="V47" i="21" s="1"/>
  <c r="W47" i="21" s="1"/>
  <c r="P35" i="2"/>
  <c r="Q35" i="2" s="1"/>
  <c r="R35" i="2" s="1"/>
  <c r="Z35" i="2" s="1"/>
  <c r="AA35" i="2" s="1"/>
  <c r="P31" i="48"/>
  <c r="Q31" i="48"/>
  <c r="R31" i="48" s="1"/>
  <c r="A128" i="49" a="1"/>
  <c r="A128" i="49" s="1"/>
  <c r="B91" i="49"/>
  <c r="F91" i="49"/>
  <c r="E91" i="49"/>
  <c r="G91" i="49"/>
  <c r="A228" i="49"/>
  <c r="C91" i="49"/>
  <c r="D91" i="49"/>
  <c r="K91" i="49"/>
  <c r="A136" i="49" a="1"/>
  <c r="A136" i="49" s="1"/>
  <c r="T28" i="48"/>
  <c r="D28" i="7"/>
  <c r="G28" i="7" s="1"/>
  <c r="H28" i="7" s="1"/>
  <c r="O28" i="48"/>
  <c r="A135" i="49" a="1"/>
  <c r="A135" i="49" s="1"/>
  <c r="P23" i="56"/>
  <c r="Q23" i="56"/>
  <c r="R23" i="56" s="1"/>
  <c r="Z23" i="56" s="1"/>
  <c r="AA23" i="56" s="1"/>
  <c r="P27" i="57"/>
  <c r="Q27" i="57" s="1"/>
  <c r="R27" i="57" s="1"/>
  <c r="Z27" i="57" s="1"/>
  <c r="AA27" i="57" s="1"/>
  <c r="P28" i="62"/>
  <c r="Q28" i="62" s="1"/>
  <c r="R28" i="62" s="1"/>
  <c r="Z28" i="62" s="1"/>
  <c r="AA28" i="62" s="1"/>
  <c r="Z17" i="2"/>
  <c r="AA17" i="2" s="1"/>
  <c r="P36" i="2"/>
  <c r="Q36" i="2"/>
  <c r="R36" i="2" s="1"/>
  <c r="Z13" i="57"/>
  <c r="AA13" i="57" s="1"/>
  <c r="A121" i="49" a="1"/>
  <c r="A121" i="49" s="1"/>
  <c r="P17" i="21"/>
  <c r="Q17" i="21"/>
  <c r="R17" i="21" s="1"/>
  <c r="U9" i="62"/>
  <c r="V9" i="62"/>
  <c r="W9" i="62" s="1"/>
  <c r="U13" i="56"/>
  <c r="V13" i="56" s="1"/>
  <c r="W13" i="56" s="1"/>
  <c r="V35" i="21"/>
  <c r="W35" i="21" s="1"/>
  <c r="U35" i="21"/>
  <c r="U10" i="2"/>
  <c r="V10" i="2" s="1"/>
  <c r="W10" i="2" s="1"/>
  <c r="P17" i="56"/>
  <c r="Q17" i="56"/>
  <c r="R17" i="56" s="1"/>
  <c r="U35" i="48"/>
  <c r="V35" i="48"/>
  <c r="W35" i="48" s="1"/>
  <c r="U38" i="56"/>
  <c r="V38" i="56" s="1"/>
  <c r="W38" i="56" s="1"/>
  <c r="U54" i="21"/>
  <c r="V54" i="21" s="1"/>
  <c r="W54" i="21" s="1"/>
  <c r="P34" i="57"/>
  <c r="Q34" i="57"/>
  <c r="R34" i="57" s="1"/>
  <c r="A19" i="49" a="1"/>
  <c r="A19" i="49" s="1"/>
  <c r="P29" i="2"/>
  <c r="Q29" i="2"/>
  <c r="R29" i="2" s="1"/>
  <c r="Z29" i="2" s="1"/>
  <c r="AA29" i="2" s="1"/>
  <c r="P40" i="62"/>
  <c r="Q40" i="62" s="1"/>
  <c r="R40" i="62" s="1"/>
  <c r="Z40" i="62" s="1"/>
  <c r="AA40" i="62" s="1"/>
  <c r="N53" i="62"/>
  <c r="S20" i="56"/>
  <c r="P58" i="21"/>
  <c r="Q58" i="21" s="1"/>
  <c r="R58" i="21" s="1"/>
  <c r="Z58" i="21" s="1"/>
  <c r="AA58" i="21" s="1"/>
  <c r="P47" i="21"/>
  <c r="Q47" i="21" s="1"/>
  <c r="R47" i="21" s="1"/>
  <c r="Z47" i="21" s="1"/>
  <c r="AA47" i="21" s="1"/>
  <c r="U35" i="2"/>
  <c r="V35" i="2"/>
  <c r="W35" i="2" s="1"/>
  <c r="P38" i="56"/>
  <c r="Q38" i="56"/>
  <c r="R38" i="56" s="1"/>
  <c r="P47" i="62"/>
  <c r="Q47" i="62" s="1"/>
  <c r="R47" i="62" s="1"/>
  <c r="N30" i="2"/>
  <c r="C26" i="49"/>
  <c r="B26" i="49"/>
  <c r="K26" i="49"/>
  <c r="E26" i="49"/>
  <c r="D26" i="49"/>
  <c r="G26" i="49"/>
  <c r="A157" i="49"/>
  <c r="F26" i="49"/>
  <c r="AB26" i="49" s="1"/>
  <c r="P16" i="21"/>
  <c r="Q16" i="21" s="1"/>
  <c r="R16" i="21" s="1"/>
  <c r="Z16" i="21" s="1"/>
  <c r="AA16" i="21" s="1"/>
  <c r="U13" i="2"/>
  <c r="V13" i="2" s="1"/>
  <c r="W13" i="2" s="1"/>
  <c r="N20" i="56"/>
  <c r="O30" i="57"/>
  <c r="T30" i="57"/>
  <c r="D30" i="59"/>
  <c r="G30" i="59" s="1"/>
  <c r="H30" i="59" s="1"/>
  <c r="A104" i="49" a="1"/>
  <c r="A104" i="49" s="1"/>
  <c r="C77" i="49"/>
  <c r="A214" i="49"/>
  <c r="B77" i="49"/>
  <c r="D77" i="49"/>
  <c r="E77" i="49"/>
  <c r="F77" i="49"/>
  <c r="G77" i="49"/>
  <c r="K77" i="49"/>
  <c r="P50" i="57"/>
  <c r="Q50" i="57" s="1"/>
  <c r="R50" i="57" s="1"/>
  <c r="Z50" i="57" s="1"/>
  <c r="AA50" i="57" s="1"/>
  <c r="U25" i="21"/>
  <c r="V25" i="21" s="1"/>
  <c r="W25" i="21" s="1"/>
  <c r="U20" i="57"/>
  <c r="V20" i="57"/>
  <c r="W20" i="57" s="1"/>
  <c r="T36" i="56"/>
  <c r="D36" i="58"/>
  <c r="G36" i="58" s="1"/>
  <c r="H36" i="58" s="1"/>
  <c r="O36" i="56"/>
  <c r="A71" i="49" a="1"/>
  <c r="A71" i="49" s="1"/>
  <c r="U54" i="56"/>
  <c r="V54" i="56"/>
  <c r="W54" i="56" s="1"/>
  <c r="P44" i="57"/>
  <c r="Q44" i="57" s="1"/>
  <c r="R44" i="57" s="1"/>
  <c r="Z44" i="57" s="1"/>
  <c r="AA44" i="57" s="1"/>
  <c r="P44" i="56"/>
  <c r="Q44" i="56"/>
  <c r="R44" i="56" s="1"/>
  <c r="Z44" i="56" s="1"/>
  <c r="AA44" i="56" s="1"/>
  <c r="U33" i="48"/>
  <c r="V33" i="48" s="1"/>
  <c r="W33" i="48" s="1"/>
  <c r="A18" i="49" a="1"/>
  <c r="A18" i="49" s="1"/>
  <c r="U34" i="57"/>
  <c r="V34" i="57"/>
  <c r="W34" i="57" s="1"/>
  <c r="U29" i="2"/>
  <c r="V29" i="2"/>
  <c r="W29" i="2" s="1"/>
  <c r="U40" i="62"/>
  <c r="V40" i="62"/>
  <c r="W40" i="62" s="1"/>
  <c r="U19" i="56"/>
  <c r="V19" i="56" s="1"/>
  <c r="W19" i="56" s="1"/>
  <c r="N25" i="62"/>
  <c r="V44" i="57"/>
  <c r="W44" i="57" s="1"/>
  <c r="U44" i="57"/>
  <c r="S11" i="21"/>
  <c r="P14" i="57"/>
  <c r="Q14" i="57" s="1"/>
  <c r="R14" i="57" s="1"/>
  <c r="U34" i="62"/>
  <c r="V34" i="62"/>
  <c r="W34" i="62" s="1"/>
  <c r="U55" i="21"/>
  <c r="V55" i="21" s="1"/>
  <c r="W55" i="21" s="1"/>
  <c r="V39" i="21"/>
  <c r="W39" i="21" s="1"/>
  <c r="U39" i="21"/>
  <c r="A48" i="49" a="1"/>
  <c r="A48" i="49" s="1"/>
  <c r="O24" i="21"/>
  <c r="T24" i="21"/>
  <c r="D24" i="19"/>
  <c r="G24" i="19" s="1"/>
  <c r="H24" i="19" s="1"/>
  <c r="U12" i="48"/>
  <c r="V12" i="48"/>
  <c r="W12" i="48" s="1"/>
  <c r="A44" i="49" a="1"/>
  <c r="A44" i="49" s="1"/>
  <c r="U17" i="21"/>
  <c r="V17" i="21"/>
  <c r="W17" i="21" s="1"/>
  <c r="P46" i="56"/>
  <c r="Q46" i="56" s="1"/>
  <c r="R46" i="56" s="1"/>
  <c r="A96" i="49" a="1"/>
  <c r="A96" i="49" s="1"/>
  <c r="P54" i="48"/>
  <c r="Q54" i="48" s="1"/>
  <c r="R54" i="48" s="1"/>
  <c r="Z54" i="48" s="1"/>
  <c r="AA54" i="48" s="1"/>
  <c r="U49" i="56"/>
  <c r="V49" i="56" s="1"/>
  <c r="W49" i="56" s="1"/>
  <c r="N49" i="57"/>
  <c r="A55" i="49" a="1"/>
  <c r="A55" i="49" s="1"/>
  <c r="Q54" i="21"/>
  <c r="R54" i="21" s="1"/>
  <c r="P54" i="21"/>
  <c r="U10" i="56"/>
  <c r="V10" i="56"/>
  <c r="W10" i="56" s="1"/>
  <c r="P55" i="21"/>
  <c r="Q55" i="21"/>
  <c r="R55" i="21" s="1"/>
  <c r="AA2" i="3"/>
  <c r="Z2" i="3"/>
  <c r="Y2" i="3"/>
  <c r="U18" i="62"/>
  <c r="V18" i="62" s="1"/>
  <c r="W18" i="62" s="1"/>
  <c r="D86" i="49"/>
  <c r="F86" i="49"/>
  <c r="C86" i="49"/>
  <c r="K86" i="49"/>
  <c r="A223" i="49"/>
  <c r="B86" i="49"/>
  <c r="E86" i="49"/>
  <c r="G86" i="49"/>
  <c r="A123" i="49" a="1"/>
  <c r="A123" i="49" s="1"/>
  <c r="P20" i="62"/>
  <c r="Q20" i="62" s="1"/>
  <c r="R20" i="62" s="1"/>
  <c r="Z20" i="62" s="1"/>
  <c r="AA20" i="62" s="1"/>
  <c r="S36" i="56"/>
  <c r="O45" i="56"/>
  <c r="T45" i="56"/>
  <c r="D45" i="58"/>
  <c r="G45" i="58" s="1"/>
  <c r="H45" i="58" s="1"/>
  <c r="A39" i="49" a="1"/>
  <c r="A39" i="49" s="1"/>
  <c r="U16" i="21"/>
  <c r="V16" i="21"/>
  <c r="W16" i="21" s="1"/>
  <c r="P54" i="56"/>
  <c r="Q54" i="56"/>
  <c r="R54" i="56" s="1"/>
  <c r="Z54" i="56" s="1"/>
  <c r="AA54" i="56" s="1"/>
  <c r="T52" i="56"/>
  <c r="O52" i="56"/>
  <c r="D52" i="58"/>
  <c r="G52" i="58" s="1"/>
  <c r="H52" i="58" s="1"/>
  <c r="S30" i="57"/>
  <c r="P30" i="21"/>
  <c r="Q30" i="21" s="1"/>
  <c r="R30" i="21" s="1"/>
  <c r="Z30" i="21" s="1"/>
  <c r="AA30" i="21" s="1"/>
  <c r="A122" i="49" a="1"/>
  <c r="A122" i="49" s="1"/>
  <c r="O14" i="48"/>
  <c r="D14" i="7"/>
  <c r="G14" i="7" s="1"/>
  <c r="H14" i="7" s="1"/>
  <c r="T14" i="48"/>
  <c r="P38" i="62"/>
  <c r="Q38" i="62" s="1"/>
  <c r="R38" i="62" s="1"/>
  <c r="Z38" i="62" s="1"/>
  <c r="AA38" i="62" s="1"/>
  <c r="P17" i="48"/>
  <c r="Q17" i="48"/>
  <c r="R17" i="48" s="1"/>
  <c r="N30" i="57"/>
  <c r="A80" i="49" a="1"/>
  <c r="A80" i="49" s="1"/>
  <c r="P33" i="57"/>
  <c r="Q33" i="57"/>
  <c r="R33" i="57" s="1"/>
  <c r="Z33" i="57" s="1"/>
  <c r="AA33" i="57" s="1"/>
  <c r="U28" i="2"/>
  <c r="V28" i="2"/>
  <c r="W28" i="2" s="1"/>
  <c r="N52" i="56"/>
  <c r="X2" i="3"/>
  <c r="U12" i="21"/>
  <c r="V12" i="21"/>
  <c r="W12" i="21" s="1"/>
  <c r="Q18" i="62"/>
  <c r="R18" i="62" s="1"/>
  <c r="P18" i="62"/>
  <c r="D68" i="49"/>
  <c r="A203" i="49"/>
  <c r="B68" i="49"/>
  <c r="C68" i="49"/>
  <c r="G68" i="49"/>
  <c r="F68" i="49"/>
  <c r="AB68" i="49" s="1"/>
  <c r="K68" i="49"/>
  <c r="E68" i="49"/>
  <c r="A41" i="49" a="1"/>
  <c r="A41" i="49" s="1"/>
  <c r="O56" i="21"/>
  <c r="T56" i="21"/>
  <c r="D56" i="19"/>
  <c r="G56" i="19" s="1"/>
  <c r="H56" i="19" s="1"/>
  <c r="Z49" i="48"/>
  <c r="AA49" i="48" s="1"/>
  <c r="N16" i="62"/>
  <c r="U21" i="48"/>
  <c r="V21" i="48"/>
  <c r="W21" i="48" s="1"/>
  <c r="P54" i="57"/>
  <c r="Q54" i="57"/>
  <c r="R54" i="57" s="1"/>
  <c r="U15" i="57"/>
  <c r="V15" i="57" s="1"/>
  <c r="W15" i="57" s="1"/>
  <c r="U34" i="21"/>
  <c r="V34" i="21" s="1"/>
  <c r="W34" i="21" s="1"/>
  <c r="P15" i="48"/>
  <c r="Q15" i="48"/>
  <c r="R15" i="48" s="1"/>
  <c r="Z15" i="48" s="1"/>
  <c r="AA15" i="48" s="1"/>
  <c r="Z9" i="56"/>
  <c r="AA9" i="56" s="1"/>
  <c r="U31" i="21"/>
  <c r="V31" i="21" s="1"/>
  <c r="W31" i="21" s="1"/>
  <c r="U44" i="2"/>
  <c r="V44" i="2"/>
  <c r="W44" i="2" s="1"/>
  <c r="A52" i="49" a="1"/>
  <c r="A52" i="49" s="1"/>
  <c r="U40" i="57"/>
  <c r="V40" i="57" s="1"/>
  <c r="W40" i="57" s="1"/>
  <c r="T53" i="62"/>
  <c r="O53" i="62"/>
  <c r="D53" i="63"/>
  <c r="G53" i="63" s="1"/>
  <c r="H53" i="63" s="1"/>
  <c r="U14" i="57"/>
  <c r="V14" i="57" s="1"/>
  <c r="W14" i="57" s="1"/>
  <c r="P28" i="2"/>
  <c r="Q28" i="2" s="1"/>
  <c r="R28" i="2" s="1"/>
  <c r="Z28" i="2" s="1"/>
  <c r="AA28" i="2" s="1"/>
  <c r="A17" i="49" a="1"/>
  <c r="A17" i="49" s="1"/>
  <c r="O29" i="48"/>
  <c r="T29" i="48"/>
  <c r="D29" i="7"/>
  <c r="G29" i="7" s="1"/>
  <c r="H29" i="7" s="1"/>
  <c r="P31" i="62"/>
  <c r="Q31" i="62"/>
  <c r="R31" i="62" s="1"/>
  <c r="P46" i="2"/>
  <c r="Q46" i="2" s="1"/>
  <c r="R46" i="2" s="1"/>
  <c r="Z42" i="56"/>
  <c r="AA42" i="56" s="1"/>
  <c r="P58" i="57"/>
  <c r="Q58" i="57"/>
  <c r="R58" i="57" s="1"/>
  <c r="U54" i="2"/>
  <c r="V54" i="2"/>
  <c r="W54" i="2" s="1"/>
  <c r="P58" i="48"/>
  <c r="Q58" i="48"/>
  <c r="R58" i="48" s="1"/>
  <c r="Z58" i="48" s="1"/>
  <c r="AA58" i="48" s="1"/>
  <c r="A125" i="49" a="1"/>
  <c r="A125" i="49" s="1"/>
  <c r="T30" i="62"/>
  <c r="O30" i="62"/>
  <c r="D30" i="63"/>
  <c r="G30" i="63" s="1"/>
  <c r="H30" i="63" s="1"/>
  <c r="A114" i="49" a="1"/>
  <c r="A114" i="49" s="1"/>
  <c r="Z49" i="62"/>
  <c r="AA49" i="62" s="1"/>
  <c r="A31" i="49" a="1"/>
  <c r="A31" i="49" s="1"/>
  <c r="E57" i="3" s="1"/>
  <c r="I57" i="3" s="1"/>
  <c r="K57" i="3" s="1"/>
  <c r="P12" i="21"/>
  <c r="Q12" i="21" s="1"/>
  <c r="R12" i="21" s="1"/>
  <c r="Z12" i="21" s="1"/>
  <c r="AA12" i="21" s="1"/>
  <c r="A105" i="49" a="1"/>
  <c r="A105" i="49" s="1"/>
  <c r="B20" i="49"/>
  <c r="G20" i="49"/>
  <c r="K20" i="49"/>
  <c r="F20" i="49"/>
  <c r="AB20" i="49" s="1"/>
  <c r="C20" i="49"/>
  <c r="D20" i="49"/>
  <c r="E20" i="49"/>
  <c r="A151" i="49"/>
  <c r="P25" i="2"/>
  <c r="Q25" i="2"/>
  <c r="R25" i="2" s="1"/>
  <c r="P41" i="21"/>
  <c r="Q41" i="21" s="1"/>
  <c r="R41" i="21" s="1"/>
  <c r="Z41" i="21" s="1"/>
  <c r="AA41" i="21" s="1"/>
  <c r="U24" i="48"/>
  <c r="V24" i="48" s="1"/>
  <c r="W24" i="48" s="1"/>
  <c r="U37" i="57"/>
  <c r="V37" i="57"/>
  <c r="W37" i="57" s="1"/>
  <c r="P22" i="62"/>
  <c r="Q22" i="62" s="1"/>
  <c r="R22" i="62" s="1"/>
  <c r="P22" i="21"/>
  <c r="Q22" i="21" s="1"/>
  <c r="R22" i="21" s="1"/>
  <c r="Z32" i="62"/>
  <c r="AA32" i="62" s="1"/>
  <c r="Q36" i="48"/>
  <c r="R36" i="48" s="1"/>
  <c r="Z36" i="48" s="1"/>
  <c r="AA36" i="48" s="1"/>
  <c r="P36" i="48"/>
  <c r="P33" i="21"/>
  <c r="Q33" i="21"/>
  <c r="R33" i="21" s="1"/>
  <c r="Z33" i="21" s="1"/>
  <c r="AA33" i="21" s="1"/>
  <c r="P28" i="21"/>
  <c r="Q28" i="21"/>
  <c r="R28" i="21" s="1"/>
  <c r="A46" i="49" a="1"/>
  <c r="A46" i="49" s="1"/>
  <c r="A100" i="49" a="1"/>
  <c r="A100" i="49" s="1"/>
  <c r="O13" i="62"/>
  <c r="T13" i="62"/>
  <c r="D13" i="63"/>
  <c r="G13" i="63" s="1"/>
  <c r="H13" i="63" s="1"/>
  <c r="U10" i="57"/>
  <c r="V10" i="57"/>
  <c r="W10" i="57" s="1"/>
  <c r="P31" i="21"/>
  <c r="Q31" i="21" s="1"/>
  <c r="R31" i="21" s="1"/>
  <c r="U16" i="57"/>
  <c r="V16" i="57" s="1"/>
  <c r="W16" i="57" s="1"/>
  <c r="U45" i="2"/>
  <c r="V45" i="2" s="1"/>
  <c r="W45" i="2" s="1"/>
  <c r="P33" i="48"/>
  <c r="Q33" i="48"/>
  <c r="R33" i="48" s="1"/>
  <c r="U46" i="2"/>
  <c r="V46" i="2" s="1"/>
  <c r="W46" i="2" s="1"/>
  <c r="U33" i="57"/>
  <c r="V33" i="57"/>
  <c r="W33" i="57" s="1"/>
  <c r="Z33" i="62"/>
  <c r="AA33" i="62" s="1"/>
  <c r="Z46" i="21"/>
  <c r="AA46" i="21" s="1"/>
  <c r="U31" i="62"/>
  <c r="V31" i="62" s="1"/>
  <c r="W31" i="62" s="1"/>
  <c r="W13" i="49"/>
  <c r="Y13" i="49" s="1"/>
  <c r="V13" i="49"/>
  <c r="X13" i="49" s="1"/>
  <c r="Z13" i="49" s="1"/>
  <c r="AA13" i="49" s="1"/>
  <c r="A117" i="49" a="1"/>
  <c r="A117" i="49" s="1"/>
  <c r="O9" i="48"/>
  <c r="T9" i="48"/>
  <c r="D9" i="7"/>
  <c r="G9" i="7" s="1"/>
  <c r="H9" i="7" s="1"/>
  <c r="S9" i="48"/>
  <c r="S14" i="48"/>
  <c r="U38" i="62"/>
  <c r="V38" i="62"/>
  <c r="W38" i="62" s="1"/>
  <c r="S29" i="48"/>
  <c r="U58" i="57"/>
  <c r="V58" i="57" s="1"/>
  <c r="W58" i="57" s="1"/>
  <c r="U58" i="48"/>
  <c r="V58" i="48"/>
  <c r="W58" i="48" s="1"/>
  <c r="U34" i="2"/>
  <c r="V34" i="2"/>
  <c r="W34" i="2" s="1"/>
  <c r="O51" i="21"/>
  <c r="T51" i="21"/>
  <c r="D51" i="19"/>
  <c r="G51" i="19" s="1"/>
  <c r="H51" i="19" s="1"/>
  <c r="V33" i="56"/>
  <c r="W33" i="56" s="1"/>
  <c r="U33" i="56"/>
  <c r="A99" i="49" a="1"/>
  <c r="A99" i="49" s="1"/>
  <c r="O12" i="62"/>
  <c r="T12" i="62"/>
  <c r="D12" i="63"/>
  <c r="G12" i="63" s="1"/>
  <c r="H12" i="63" s="1"/>
  <c r="A97" i="49" a="1"/>
  <c r="A97" i="49" s="1"/>
  <c r="A98" i="49" a="1"/>
  <c r="A98" i="49" s="1"/>
  <c r="U30" i="21"/>
  <c r="V30" i="21"/>
  <c r="W30" i="21" s="1"/>
  <c r="U40" i="2"/>
  <c r="V40" i="2" s="1"/>
  <c r="W40" i="2" s="1"/>
  <c r="S52" i="56"/>
  <c r="A36" i="49" a="1"/>
  <c r="A36" i="49" s="1"/>
  <c r="G81" i="49"/>
  <c r="C81" i="49"/>
  <c r="B81" i="49"/>
  <c r="D81" i="49"/>
  <c r="E81" i="49"/>
  <c r="F81" i="49"/>
  <c r="AB81" i="49" s="1"/>
  <c r="A218" i="49"/>
  <c r="K81" i="49"/>
  <c r="P18" i="48"/>
  <c r="Q18" i="48"/>
  <c r="R18" i="48" s="1"/>
  <c r="Z18" i="48" s="1"/>
  <c r="AA18" i="48" s="1"/>
  <c r="P24" i="56"/>
  <c r="Q24" i="56" s="1"/>
  <c r="R24" i="56" s="1"/>
  <c r="Z24" i="56" s="1"/>
  <c r="AA24" i="56" s="1"/>
  <c r="U18" i="48"/>
  <c r="V18" i="48"/>
  <c r="W18" i="48" s="1"/>
  <c r="P13" i="2"/>
  <c r="Q13" i="2"/>
  <c r="R13" i="2" s="1"/>
  <c r="P45" i="2"/>
  <c r="Q45" i="2" s="1"/>
  <c r="R45" i="2" s="1"/>
  <c r="P31" i="56"/>
  <c r="Q31" i="56" s="1"/>
  <c r="R31" i="56" s="1"/>
  <c r="Z31" i="56" s="1"/>
  <c r="AA31" i="56" s="1"/>
  <c r="U28" i="21"/>
  <c r="V28" i="21" s="1"/>
  <c r="W28" i="21" s="1"/>
  <c r="Q18" i="57"/>
  <c r="R18" i="57" s="1"/>
  <c r="P18" i="57"/>
  <c r="P10" i="57"/>
  <c r="Q10" i="57" s="1"/>
  <c r="R10" i="57" s="1"/>
  <c r="Z10" i="57" s="1"/>
  <c r="AA10" i="57" s="1"/>
  <c r="U18" i="57"/>
  <c r="V18" i="57" s="1"/>
  <c r="W18" i="57" s="1"/>
  <c r="Z55" i="56"/>
  <c r="AA55" i="56" s="1"/>
  <c r="S30" i="2"/>
  <c r="P49" i="56"/>
  <c r="Q49" i="56"/>
  <c r="R49" i="56" s="1"/>
  <c r="Q13" i="49"/>
  <c r="T144" i="49"/>
  <c r="P13" i="49"/>
  <c r="T45" i="21"/>
  <c r="O45" i="21"/>
  <c r="D45" i="19"/>
  <c r="G45" i="19" s="1"/>
  <c r="H45" i="19" s="1"/>
  <c r="U44" i="56"/>
  <c r="V44" i="56"/>
  <c r="W44" i="56" s="1"/>
  <c r="P15" i="2"/>
  <c r="Q15" i="2"/>
  <c r="R15" i="2" s="1"/>
  <c r="P47" i="57"/>
  <c r="Q47" i="57" s="1"/>
  <c r="R47" i="57" s="1"/>
  <c r="Z47" i="57" s="1"/>
  <c r="AA47" i="57" s="1"/>
  <c r="Z53" i="48"/>
  <c r="AA53" i="48" s="1"/>
  <c r="U17" i="48"/>
  <c r="V17" i="48" s="1"/>
  <c r="W17" i="48" s="1"/>
  <c r="P34" i="62"/>
  <c r="Q34" i="62"/>
  <c r="R34" i="62" s="1"/>
  <c r="Z34" i="62" s="1"/>
  <c r="AA34" i="62" s="1"/>
  <c r="P54" i="2"/>
  <c r="Q54" i="2" s="1"/>
  <c r="R54" i="2" s="1"/>
  <c r="Z54" i="2" s="1"/>
  <c r="AA54" i="2" s="1"/>
  <c r="N14" i="48"/>
  <c r="U15" i="2"/>
  <c r="V15" i="2" s="1"/>
  <c r="W15" i="2" s="1"/>
  <c r="A70" i="49" a="1"/>
  <c r="A70" i="49" s="1"/>
  <c r="S13" i="62"/>
  <c r="N52" i="21"/>
  <c r="P34" i="2"/>
  <c r="Q34" i="2" s="1"/>
  <c r="R34" i="2" s="1"/>
  <c r="Z34" i="2" s="1"/>
  <c r="AA34" i="2" s="1"/>
  <c r="A127" i="49" a="1"/>
  <c r="A127" i="49" s="1"/>
  <c r="P33" i="56"/>
  <c r="Q33" i="56"/>
  <c r="R33" i="56" s="1"/>
  <c r="Z14" i="2"/>
  <c r="AA14" i="2" s="1"/>
  <c r="N30" i="62"/>
  <c r="A56" i="49" a="1"/>
  <c r="A56" i="49" s="1"/>
  <c r="O11" i="56"/>
  <c r="T11" i="56"/>
  <c r="D11" i="58"/>
  <c r="G11" i="58" s="1"/>
  <c r="H11" i="58" s="1"/>
  <c r="A54" i="49" a="1"/>
  <c r="A54" i="49" s="1"/>
  <c r="P40" i="2"/>
  <c r="Q40" i="2"/>
  <c r="R40" i="2" s="1"/>
  <c r="A106" i="49" a="1"/>
  <c r="A106" i="49" s="1"/>
  <c r="P49" i="2"/>
  <c r="Q49" i="2" s="1"/>
  <c r="R49" i="2" s="1"/>
  <c r="Z49" i="2" s="1"/>
  <c r="AA49" i="2" s="1"/>
  <c r="C115" i="49"/>
  <c r="F115" i="49"/>
  <c r="A254" i="49"/>
  <c r="D115" i="49"/>
  <c r="K115" i="49"/>
  <c r="B115" i="49"/>
  <c r="E115" i="49"/>
  <c r="G115" i="49"/>
  <c r="P14" i="56"/>
  <c r="Q14" i="56" s="1"/>
  <c r="R14" i="56" s="1"/>
  <c r="Z46" i="57"/>
  <c r="AA46" i="57" s="1"/>
  <c r="P29" i="56"/>
  <c r="Q29" i="56" s="1"/>
  <c r="R29" i="56" s="1"/>
  <c r="U15" i="48"/>
  <c r="V15" i="48"/>
  <c r="W15" i="48" s="1"/>
  <c r="A51" i="49" a="1"/>
  <c r="A51" i="49" s="1"/>
  <c r="T27" i="21"/>
  <c r="O27" i="21"/>
  <c r="D27" i="19"/>
  <c r="G27" i="19" s="1"/>
  <c r="H27" i="19" s="1"/>
  <c r="A50" i="49" a="1"/>
  <c r="A50" i="49" s="1"/>
  <c r="U46" i="48"/>
  <c r="V46" i="48"/>
  <c r="W46" i="48" s="1"/>
  <c r="Z34" i="56"/>
  <c r="AA34" i="56" s="1"/>
  <c r="A76" i="49" a="1"/>
  <c r="A76" i="49" s="1"/>
  <c r="E16" i="59" s="1"/>
  <c r="I16" i="59" s="1"/>
  <c r="K16" i="59" s="1"/>
  <c r="U31" i="56"/>
  <c r="V31" i="56"/>
  <c r="W31" i="56" s="1"/>
  <c r="U31" i="48"/>
  <c r="V31" i="48"/>
  <c r="W31" i="48" s="1"/>
  <c r="P53" i="21"/>
  <c r="Q53" i="21" s="1"/>
  <c r="R53" i="21" s="1"/>
  <c r="Z53" i="21" s="1"/>
  <c r="AA53" i="21" s="1"/>
  <c r="P36" i="62"/>
  <c r="Q36" i="62"/>
  <c r="R36" i="62" s="1"/>
  <c r="A65" i="49" a="1"/>
  <c r="A65" i="49" s="1"/>
  <c r="T20" i="56"/>
  <c r="O20" i="56"/>
  <c r="D20" i="58"/>
  <c r="G20" i="58" s="1"/>
  <c r="H20" i="58" s="1"/>
  <c r="A63" i="49" a="1"/>
  <c r="A63" i="49" s="1"/>
  <c r="Z30" i="48"/>
  <c r="AA30" i="48" s="1"/>
  <c r="Z44" i="48"/>
  <c r="AA44" i="48" s="1"/>
  <c r="Z11" i="2"/>
  <c r="AA11" i="2" s="1"/>
  <c r="Z21" i="56"/>
  <c r="AA21" i="56" s="1"/>
  <c r="U57" i="62"/>
  <c r="V57" i="62" s="1"/>
  <c r="W57" i="62" s="1"/>
  <c r="P52" i="2"/>
  <c r="Q52" i="2"/>
  <c r="R52" i="2" s="1"/>
  <c r="N13" i="62"/>
  <c r="U25" i="48"/>
  <c r="V25" i="48" s="1"/>
  <c r="W25" i="48" s="1"/>
  <c r="S52" i="21"/>
  <c r="Z16" i="48"/>
  <c r="AA16" i="48" s="1"/>
  <c r="U35" i="56"/>
  <c r="V35" i="56"/>
  <c r="W35" i="56" s="1"/>
  <c r="P36" i="21"/>
  <c r="Q36" i="21"/>
  <c r="R36" i="21" s="1"/>
  <c r="Z36" i="21" s="1"/>
  <c r="AA36" i="21" s="1"/>
  <c r="U11" i="48"/>
  <c r="V11" i="48" s="1"/>
  <c r="W11" i="48" s="1"/>
  <c r="S30" i="62"/>
  <c r="P37" i="48"/>
  <c r="Q37" i="48" s="1"/>
  <c r="R37" i="48" s="1"/>
  <c r="Z37" i="48" s="1"/>
  <c r="AA37" i="48" s="1"/>
  <c r="A110" i="49" a="1"/>
  <c r="A110" i="49" s="1"/>
  <c r="U49" i="2"/>
  <c r="V49" i="2"/>
  <c r="W49" i="2" s="1"/>
  <c r="Z45" i="2" l="1"/>
  <c r="AA45" i="2" s="1"/>
  <c r="Z40" i="57"/>
  <c r="AA40" i="57" s="1"/>
  <c r="Z22" i="21"/>
  <c r="AA22" i="21" s="1"/>
  <c r="Z46" i="2"/>
  <c r="AA46" i="2" s="1"/>
  <c r="Z31" i="21"/>
  <c r="AA31" i="21" s="1"/>
  <c r="Z22" i="62"/>
  <c r="AA22" i="62" s="1"/>
  <c r="Z43" i="57"/>
  <c r="AA43" i="57" s="1"/>
  <c r="Z24" i="62"/>
  <c r="AA24" i="62" s="1"/>
  <c r="Z37" i="2"/>
  <c r="AA37" i="2" s="1"/>
  <c r="Z46" i="56"/>
  <c r="AA46" i="56" s="1"/>
  <c r="Z14" i="57"/>
  <c r="AA14" i="57" s="1"/>
  <c r="Z43" i="48"/>
  <c r="AA43" i="48" s="1"/>
  <c r="Z29" i="56"/>
  <c r="AA29" i="56" s="1"/>
  <c r="Z47" i="62"/>
  <c r="AA47" i="62" s="1"/>
  <c r="Z32" i="56"/>
  <c r="AA32" i="56" s="1"/>
  <c r="Z20" i="21"/>
  <c r="AA20" i="21" s="1"/>
  <c r="Z14" i="56"/>
  <c r="AA14" i="56" s="1"/>
  <c r="Q60" i="49"/>
  <c r="T195" i="49"/>
  <c r="P55" i="62"/>
  <c r="Q55" i="62"/>
  <c r="R55" i="62" s="1"/>
  <c r="M89" i="49"/>
  <c r="N89" i="49"/>
  <c r="R226" i="49"/>
  <c r="S226" i="49"/>
  <c r="H89" i="49"/>
  <c r="J89" i="49" s="1"/>
  <c r="V89" i="49" s="1"/>
  <c r="X89" i="49" s="1"/>
  <c r="G114" i="49"/>
  <c r="B114" i="49"/>
  <c r="A253" i="49"/>
  <c r="D114" i="49"/>
  <c r="E114" i="49"/>
  <c r="K114" i="49"/>
  <c r="F114" i="49"/>
  <c r="C114" i="49"/>
  <c r="K110" i="49"/>
  <c r="C110" i="49"/>
  <c r="G110" i="49"/>
  <c r="D110" i="49"/>
  <c r="A249" i="49"/>
  <c r="E110" i="49"/>
  <c r="B110" i="49"/>
  <c r="F110" i="49"/>
  <c r="AB110" i="49" s="1"/>
  <c r="R160" i="49"/>
  <c r="S160" i="49"/>
  <c r="M29" i="49"/>
  <c r="H29" i="49"/>
  <c r="J29" i="49" s="1"/>
  <c r="W29" i="49" s="1"/>
  <c r="Y29" i="49" s="1"/>
  <c r="N29" i="49"/>
  <c r="P30" i="62"/>
  <c r="Q30" i="62" s="1"/>
  <c r="R30" i="62" s="1"/>
  <c r="Z30" i="62" s="1"/>
  <c r="AA30" i="62" s="1"/>
  <c r="P49" i="57"/>
  <c r="Q49" i="57"/>
  <c r="R49" i="57" s="1"/>
  <c r="Z42" i="48"/>
  <c r="AA42" i="48" s="1"/>
  <c r="P39" i="48"/>
  <c r="Q39" i="48" s="1"/>
  <c r="R39" i="48" s="1"/>
  <c r="Z58" i="57"/>
  <c r="AA58" i="57" s="1"/>
  <c r="E40" i="59"/>
  <c r="I40" i="59" s="1"/>
  <c r="K40" i="59" s="1"/>
  <c r="Z46" i="62"/>
  <c r="AA46" i="62" s="1"/>
  <c r="Q250" i="49"/>
  <c r="J250" i="49"/>
  <c r="E31" i="3"/>
  <c r="I31" i="3" s="1"/>
  <c r="K31" i="3" s="1"/>
  <c r="K97" i="49"/>
  <c r="A236" i="49"/>
  <c r="B97" i="49"/>
  <c r="C97" i="49"/>
  <c r="D97" i="49"/>
  <c r="F97" i="49"/>
  <c r="E97" i="49"/>
  <c r="G97" i="49"/>
  <c r="Z31" i="62"/>
  <c r="AA31" i="62" s="1"/>
  <c r="F122" i="49"/>
  <c r="C122" i="49"/>
  <c r="D122" i="49"/>
  <c r="G122" i="49"/>
  <c r="K122" i="49"/>
  <c r="A263" i="49"/>
  <c r="B122" i="49"/>
  <c r="E122" i="49"/>
  <c r="Z55" i="21"/>
  <c r="AA55" i="21" s="1"/>
  <c r="Z36" i="2"/>
  <c r="AA36" i="2" s="1"/>
  <c r="E13" i="59"/>
  <c r="I13" i="59" s="1"/>
  <c r="K13" i="59" s="1"/>
  <c r="E19" i="59"/>
  <c r="I19" i="59" s="1"/>
  <c r="K19" i="59" s="1"/>
  <c r="Z27" i="56"/>
  <c r="AA27" i="56" s="1"/>
  <c r="C37" i="49"/>
  <c r="D37" i="49"/>
  <c r="F37" i="49"/>
  <c r="G37" i="49"/>
  <c r="A170" i="49"/>
  <c r="K37" i="49"/>
  <c r="B37" i="49"/>
  <c r="E37" i="49"/>
  <c r="E126" i="49"/>
  <c r="F126" i="49"/>
  <c r="AB126" i="49" s="1"/>
  <c r="G126" i="49"/>
  <c r="K126" i="49"/>
  <c r="A267" i="49"/>
  <c r="B126" i="49"/>
  <c r="C126" i="49"/>
  <c r="D126" i="49"/>
  <c r="Z37" i="62"/>
  <c r="AA37" i="62" s="1"/>
  <c r="AB59" i="49"/>
  <c r="E25" i="3"/>
  <c r="I25" i="3" s="1"/>
  <c r="K25" i="3" s="1"/>
  <c r="E46" i="3"/>
  <c r="I46" i="3" s="1"/>
  <c r="K46" i="3" s="1"/>
  <c r="AB77" i="49"/>
  <c r="U11" i="21"/>
  <c r="V11" i="21" s="1"/>
  <c r="W11" i="21" s="1"/>
  <c r="E26" i="59"/>
  <c r="I26" i="59" s="1"/>
  <c r="K26" i="59" s="1"/>
  <c r="E23" i="59"/>
  <c r="I23" i="59" s="1"/>
  <c r="K23" i="59" s="1"/>
  <c r="J153" i="49"/>
  <c r="Q153" i="49"/>
  <c r="C153" i="49"/>
  <c r="G83" i="49"/>
  <c r="C83" i="49"/>
  <c r="B83" i="49"/>
  <c r="D83" i="49"/>
  <c r="A220" i="49"/>
  <c r="E83" i="49"/>
  <c r="K83" i="49"/>
  <c r="F83" i="49"/>
  <c r="AB83" i="49" s="1"/>
  <c r="W111" i="49"/>
  <c r="Y111" i="49" s="1"/>
  <c r="Q201" i="49"/>
  <c r="M14" i="49"/>
  <c r="N14" i="49"/>
  <c r="H14" i="49"/>
  <c r="J14" i="49" s="1"/>
  <c r="S145" i="49"/>
  <c r="R145" i="49"/>
  <c r="N78" i="49"/>
  <c r="R215" i="49"/>
  <c r="S215" i="49"/>
  <c r="M78" i="49"/>
  <c r="O78" i="49" s="1"/>
  <c r="P78" i="49" s="1"/>
  <c r="H78" i="49"/>
  <c r="J78" i="49" s="1"/>
  <c r="W78" i="49" s="1"/>
  <c r="Y78" i="49" s="1"/>
  <c r="K15" i="49"/>
  <c r="B15" i="49"/>
  <c r="G15" i="49"/>
  <c r="D15" i="49"/>
  <c r="E15" i="49"/>
  <c r="F15" i="49"/>
  <c r="C15" i="49"/>
  <c r="A146" i="49"/>
  <c r="Z28" i="21"/>
  <c r="AA28" i="21" s="1"/>
  <c r="U43" i="56"/>
  <c r="V43" i="56"/>
  <c r="W43" i="56" s="1"/>
  <c r="E36" i="49"/>
  <c r="F36" i="49"/>
  <c r="A169" i="49"/>
  <c r="K36" i="49"/>
  <c r="D36" i="49"/>
  <c r="G36" i="49"/>
  <c r="B36" i="49"/>
  <c r="C36" i="49"/>
  <c r="B101" i="49"/>
  <c r="C101" i="49"/>
  <c r="D101" i="49"/>
  <c r="E101" i="49"/>
  <c r="F101" i="49"/>
  <c r="G101" i="49"/>
  <c r="A240" i="49"/>
  <c r="K101" i="49"/>
  <c r="E35" i="3"/>
  <c r="I35" i="3" s="1"/>
  <c r="K35" i="3" s="1"/>
  <c r="V14" i="49"/>
  <c r="X14" i="49" s="1"/>
  <c r="Z14" i="49" s="1"/>
  <c r="AA14" i="49" s="1"/>
  <c r="Z33" i="56"/>
  <c r="AA33" i="56" s="1"/>
  <c r="E48" i="59"/>
  <c r="I48" i="59" s="1"/>
  <c r="K48" i="59" s="1"/>
  <c r="Z9" i="62"/>
  <c r="AA9" i="62" s="1"/>
  <c r="E56" i="3"/>
  <c r="I56" i="3" s="1"/>
  <c r="K56" i="3" s="1"/>
  <c r="Z18" i="57"/>
  <c r="AA18" i="57" s="1"/>
  <c r="U56" i="21"/>
  <c r="V56" i="21" s="1"/>
  <c r="W56" i="21" s="1"/>
  <c r="E18" i="59"/>
  <c r="I18" i="59" s="1"/>
  <c r="K18" i="59" s="1"/>
  <c r="N62" i="49"/>
  <c r="M62" i="49"/>
  <c r="O62" i="49" s="1"/>
  <c r="P62" i="49" s="1"/>
  <c r="S197" i="49"/>
  <c r="R197" i="49"/>
  <c r="H62" i="49"/>
  <c r="J62" i="49" s="1"/>
  <c r="V62" i="49" s="1"/>
  <c r="X62" i="49" s="1"/>
  <c r="E109" i="49"/>
  <c r="B109" i="49"/>
  <c r="F109" i="49"/>
  <c r="G109" i="49"/>
  <c r="A248" i="49"/>
  <c r="K109" i="49"/>
  <c r="C109" i="49"/>
  <c r="D109" i="49"/>
  <c r="Z43" i="62"/>
  <c r="AA43" i="62" s="1"/>
  <c r="F44" i="49"/>
  <c r="B44" i="49"/>
  <c r="D44" i="49"/>
  <c r="E44" i="49"/>
  <c r="G44" i="49"/>
  <c r="C44" i="49"/>
  <c r="A177" i="49"/>
  <c r="K44" i="49"/>
  <c r="C228" i="49"/>
  <c r="J228" i="49"/>
  <c r="Q228" i="49"/>
  <c r="Z17" i="56"/>
  <c r="AA17" i="56" s="1"/>
  <c r="Z25" i="21"/>
  <c r="AA25" i="21" s="1"/>
  <c r="E29" i="59"/>
  <c r="I29" i="59" s="1"/>
  <c r="K29" i="59" s="1"/>
  <c r="U50" i="48"/>
  <c r="V50" i="48"/>
  <c r="W50" i="48" s="1"/>
  <c r="E36" i="3"/>
  <c r="I36" i="3" s="1"/>
  <c r="K36" i="3" s="1"/>
  <c r="Z49" i="56"/>
  <c r="AA49" i="56" s="1"/>
  <c r="AB86" i="49"/>
  <c r="E50" i="59"/>
  <c r="I50" i="59" s="1"/>
  <c r="K50" i="59" s="1"/>
  <c r="H16" i="49"/>
  <c r="J16" i="49" s="1"/>
  <c r="V16" i="49" s="1"/>
  <c r="X16" i="49" s="1"/>
  <c r="Z16" i="49" s="1"/>
  <c r="AA16" i="49" s="1"/>
  <c r="M16" i="49"/>
  <c r="N16" i="49"/>
  <c r="R147" i="49"/>
  <c r="S147" i="49"/>
  <c r="M86" i="49"/>
  <c r="R223" i="49"/>
  <c r="S223" i="49"/>
  <c r="N86" i="49"/>
  <c r="H86" i="49"/>
  <c r="J86" i="49" s="1"/>
  <c r="W86" i="49" s="1"/>
  <c r="Y86" i="49" s="1"/>
  <c r="E57" i="59"/>
  <c r="I57" i="59" s="1"/>
  <c r="K57" i="59" s="1"/>
  <c r="A183" i="49"/>
  <c r="B50" i="49"/>
  <c r="F50" i="49"/>
  <c r="D50" i="49"/>
  <c r="K50" i="49"/>
  <c r="G50" i="49"/>
  <c r="E50" i="49"/>
  <c r="C50" i="49"/>
  <c r="R193" i="49"/>
  <c r="S193" i="49"/>
  <c r="H58" i="49"/>
  <c r="J58" i="49" s="1"/>
  <c r="W58" i="49" s="1"/>
  <c r="Y58" i="49" s="1"/>
  <c r="N58" i="49"/>
  <c r="M58" i="49"/>
  <c r="O58" i="49" s="1"/>
  <c r="P58" i="49" s="1"/>
  <c r="D131" i="49"/>
  <c r="F131" i="49"/>
  <c r="AB131" i="49" s="1"/>
  <c r="G131" i="49"/>
  <c r="B131" i="49"/>
  <c r="E131" i="49"/>
  <c r="A272" i="49"/>
  <c r="C131" i="49"/>
  <c r="K131" i="49"/>
  <c r="C70" i="49"/>
  <c r="F70" i="49"/>
  <c r="E70" i="49"/>
  <c r="D70" i="49"/>
  <c r="A205" i="49"/>
  <c r="B70" i="49"/>
  <c r="K70" i="49"/>
  <c r="G70" i="49"/>
  <c r="U12" i="62"/>
  <c r="V12" i="62" s="1"/>
  <c r="W12" i="62" s="1"/>
  <c r="P11" i="21"/>
  <c r="Q11" i="21" s="1"/>
  <c r="R11" i="21" s="1"/>
  <c r="Z11" i="21" s="1"/>
  <c r="AA11" i="21" s="1"/>
  <c r="Z25" i="2"/>
  <c r="AA25" i="2" s="1"/>
  <c r="P56" i="21"/>
  <c r="Q56" i="21"/>
  <c r="R56" i="21" s="1"/>
  <c r="T158" i="49"/>
  <c r="Q27" i="49"/>
  <c r="P16" i="62"/>
  <c r="Q16" i="62"/>
  <c r="R16" i="62" s="1"/>
  <c r="Z16" i="62" s="1"/>
  <c r="AA16" i="62" s="1"/>
  <c r="T226" i="49"/>
  <c r="Q89" i="49"/>
  <c r="E45" i="3"/>
  <c r="I45" i="3" s="1"/>
  <c r="K45" i="3" s="1"/>
  <c r="Q81" i="49"/>
  <c r="T218" i="49"/>
  <c r="M88" i="49"/>
  <c r="O88" i="49" s="1"/>
  <c r="P88" i="49" s="1"/>
  <c r="N88" i="49"/>
  <c r="H88" i="49"/>
  <c r="J88" i="49" s="1"/>
  <c r="W88" i="49" s="1"/>
  <c r="Y88" i="49" s="1"/>
  <c r="R225" i="49"/>
  <c r="S225" i="49"/>
  <c r="C160" i="49"/>
  <c r="J160" i="49"/>
  <c r="Q160" i="49"/>
  <c r="Z44" i="2"/>
  <c r="AA44" i="2" s="1"/>
  <c r="J229" i="49"/>
  <c r="C229" i="49"/>
  <c r="Q229" i="49"/>
  <c r="V57" i="49"/>
  <c r="X57" i="49" s="1"/>
  <c r="B40" i="49"/>
  <c r="C40" i="49"/>
  <c r="E40" i="49"/>
  <c r="D40" i="49"/>
  <c r="G40" i="49"/>
  <c r="K40" i="49"/>
  <c r="F40" i="49"/>
  <c r="A173" i="49"/>
  <c r="E51" i="58"/>
  <c r="I51" i="58" s="1"/>
  <c r="K51" i="58" s="1"/>
  <c r="E24" i="58"/>
  <c r="I24" i="58" s="1"/>
  <c r="K24" i="58" s="1"/>
  <c r="E42" i="58"/>
  <c r="I42" i="58" s="1"/>
  <c r="K42" i="58" s="1"/>
  <c r="E20" i="58"/>
  <c r="I20" i="58" s="1"/>
  <c r="K20" i="58" s="1"/>
  <c r="E36" i="58"/>
  <c r="I36" i="58" s="1"/>
  <c r="K36" i="58" s="1"/>
  <c r="E56" i="58"/>
  <c r="I56" i="58" s="1"/>
  <c r="K56" i="58" s="1"/>
  <c r="B54" i="49"/>
  <c r="E32" i="58"/>
  <c r="I32" i="58" s="1"/>
  <c r="K32" i="58" s="1"/>
  <c r="E37" i="58"/>
  <c r="I37" i="58" s="1"/>
  <c r="K37" i="58" s="1"/>
  <c r="F54" i="49"/>
  <c r="AB54" i="49" s="1"/>
  <c r="D54" i="49"/>
  <c r="J195" i="49" s="1"/>
  <c r="E12" i="58"/>
  <c r="I12" i="58" s="1"/>
  <c r="K12" i="58" s="1"/>
  <c r="E19" i="58"/>
  <c r="I19" i="58" s="1"/>
  <c r="K19" i="58" s="1"/>
  <c r="E13" i="58"/>
  <c r="I13" i="58" s="1"/>
  <c r="K13" i="58" s="1"/>
  <c r="E54" i="49"/>
  <c r="E39" i="58"/>
  <c r="I39" i="58" s="1"/>
  <c r="K39" i="58" s="1"/>
  <c r="G54" i="49"/>
  <c r="E58" i="58"/>
  <c r="I58" i="58" s="1"/>
  <c r="K58" i="58" s="1"/>
  <c r="E40" i="58"/>
  <c r="I40" i="58" s="1"/>
  <c r="K40" i="58" s="1"/>
  <c r="E10" i="58"/>
  <c r="I10" i="58" s="1"/>
  <c r="K10" i="58" s="1"/>
  <c r="K54" i="49"/>
  <c r="E15" i="58"/>
  <c r="I15" i="58" s="1"/>
  <c r="K15" i="58" s="1"/>
  <c r="E27" i="58"/>
  <c r="I27" i="58" s="1"/>
  <c r="K27" i="58" s="1"/>
  <c r="E46" i="58"/>
  <c r="I46" i="58" s="1"/>
  <c r="K46" i="58" s="1"/>
  <c r="E38" i="58"/>
  <c r="I38" i="58" s="1"/>
  <c r="K38" i="58" s="1"/>
  <c r="E30" i="58"/>
  <c r="I30" i="58" s="1"/>
  <c r="K30" i="58" s="1"/>
  <c r="E28" i="58"/>
  <c r="I28" i="58" s="1"/>
  <c r="K28" i="58" s="1"/>
  <c r="E16" i="58"/>
  <c r="I16" i="58" s="1"/>
  <c r="K16" i="58" s="1"/>
  <c r="E22" i="58"/>
  <c r="I22" i="58" s="1"/>
  <c r="K22" i="58" s="1"/>
  <c r="E26" i="58"/>
  <c r="I26" i="58" s="1"/>
  <c r="K26" i="58" s="1"/>
  <c r="E35" i="58"/>
  <c r="I35" i="58" s="1"/>
  <c r="K35" i="58" s="1"/>
  <c r="E34" i="58"/>
  <c r="I34" i="58" s="1"/>
  <c r="K34" i="58" s="1"/>
  <c r="E48" i="58"/>
  <c r="I48" i="58" s="1"/>
  <c r="K48" i="58" s="1"/>
  <c r="E43" i="58"/>
  <c r="I43" i="58" s="1"/>
  <c r="K43" i="58" s="1"/>
  <c r="E23" i="58"/>
  <c r="I23" i="58" s="1"/>
  <c r="K23" i="58" s="1"/>
  <c r="C54" i="49"/>
  <c r="E44" i="58"/>
  <c r="I44" i="58" s="1"/>
  <c r="K44" i="58" s="1"/>
  <c r="E45" i="58"/>
  <c r="I45" i="58" s="1"/>
  <c r="K45" i="58" s="1"/>
  <c r="E11" i="58"/>
  <c r="I11" i="58" s="1"/>
  <c r="K11" i="58" s="1"/>
  <c r="E47" i="58"/>
  <c r="I47" i="58" s="1"/>
  <c r="K47" i="58" s="1"/>
  <c r="E17" i="58"/>
  <c r="I17" i="58" s="1"/>
  <c r="K17" i="58" s="1"/>
  <c r="E54" i="58"/>
  <c r="I54" i="58" s="1"/>
  <c r="K54" i="58" s="1"/>
  <c r="E50" i="58"/>
  <c r="I50" i="58" s="1"/>
  <c r="K50" i="58" s="1"/>
  <c r="E55" i="58"/>
  <c r="I55" i="58" s="1"/>
  <c r="K55" i="58" s="1"/>
  <c r="E33" i="58"/>
  <c r="I33" i="58" s="1"/>
  <c r="K33" i="58" s="1"/>
  <c r="A189" i="49"/>
  <c r="E14" i="58"/>
  <c r="I14" i="58" s="1"/>
  <c r="K14" i="58" s="1"/>
  <c r="E18" i="58"/>
  <c r="I18" i="58" s="1"/>
  <c r="K18" i="58" s="1"/>
  <c r="E41" i="58"/>
  <c r="I41" i="58" s="1"/>
  <c r="K41" i="58" s="1"/>
  <c r="E49" i="58"/>
  <c r="I49" i="58" s="1"/>
  <c r="K49" i="58" s="1"/>
  <c r="E52" i="58"/>
  <c r="I52" i="58" s="1"/>
  <c r="K52" i="58" s="1"/>
  <c r="E57" i="58"/>
  <c r="I57" i="58" s="1"/>
  <c r="K57" i="58" s="1"/>
  <c r="E25" i="58"/>
  <c r="I25" i="58" s="1"/>
  <c r="K25" i="58" s="1"/>
  <c r="E21" i="58"/>
  <c r="I21" i="58" s="1"/>
  <c r="K21" i="58" s="1"/>
  <c r="E53" i="58"/>
  <c r="I53" i="58" s="1"/>
  <c r="K53" i="58" s="1"/>
  <c r="E9" i="58"/>
  <c r="I9" i="58" s="1"/>
  <c r="E31" i="58"/>
  <c r="I31" i="58" s="1"/>
  <c r="K31" i="58" s="1"/>
  <c r="E29" i="58"/>
  <c r="I29" i="58" s="1"/>
  <c r="K29" i="58" s="1"/>
  <c r="Z17" i="48"/>
  <c r="AA17" i="48" s="1"/>
  <c r="V73" i="49"/>
  <c r="X73" i="49" s="1"/>
  <c r="Z73" i="49" s="1"/>
  <c r="AA73" i="49" s="1"/>
  <c r="E42" i="59"/>
  <c r="I42" i="59" s="1"/>
  <c r="K42" i="59" s="1"/>
  <c r="H73" i="49"/>
  <c r="J73" i="49" s="1"/>
  <c r="R208" i="49"/>
  <c r="N73" i="49"/>
  <c r="S208" i="49"/>
  <c r="M73" i="49"/>
  <c r="U15" i="62"/>
  <c r="V15" i="62"/>
  <c r="W15" i="62" s="1"/>
  <c r="K112" i="49"/>
  <c r="A251" i="49"/>
  <c r="E112" i="49"/>
  <c r="F112" i="49"/>
  <c r="C112" i="49"/>
  <c r="G112" i="49"/>
  <c r="B112" i="49"/>
  <c r="D112" i="49"/>
  <c r="U52" i="21"/>
  <c r="V52" i="21"/>
  <c r="W52" i="21" s="1"/>
  <c r="G51" i="49"/>
  <c r="A184" i="49"/>
  <c r="B51" i="49"/>
  <c r="K51" i="49"/>
  <c r="F51" i="49"/>
  <c r="AB51" i="49" s="1"/>
  <c r="C51" i="49"/>
  <c r="D51" i="49"/>
  <c r="E51" i="49"/>
  <c r="A167" i="49"/>
  <c r="D34" i="49"/>
  <c r="B34" i="49"/>
  <c r="G34" i="49"/>
  <c r="C34" i="49"/>
  <c r="E34" i="49"/>
  <c r="F34" i="49"/>
  <c r="K34" i="49"/>
  <c r="E25" i="59"/>
  <c r="I25" i="59" s="1"/>
  <c r="K25" i="59" s="1"/>
  <c r="AB94" i="49"/>
  <c r="C133" i="49"/>
  <c r="F133" i="49"/>
  <c r="K133" i="49"/>
  <c r="G133" i="49"/>
  <c r="E133" i="49"/>
  <c r="D133" i="49"/>
  <c r="A274" i="49"/>
  <c r="B133" i="49"/>
  <c r="AB78" i="49"/>
  <c r="Z52" i="2"/>
  <c r="AA52" i="2" s="1"/>
  <c r="E36" i="59"/>
  <c r="I36" i="59" s="1"/>
  <c r="K36" i="59" s="1"/>
  <c r="Z15" i="57"/>
  <c r="AA15" i="57" s="1"/>
  <c r="Z10" i="2"/>
  <c r="AA10" i="2" s="1"/>
  <c r="T230" i="49"/>
  <c r="Q93" i="49"/>
  <c r="U40" i="48"/>
  <c r="V40" i="48"/>
  <c r="W40" i="48" s="1"/>
  <c r="S201" i="49"/>
  <c r="M66" i="49"/>
  <c r="N66" i="49"/>
  <c r="H66" i="49"/>
  <c r="J66" i="49" s="1"/>
  <c r="W66" i="49" s="1"/>
  <c r="Y66" i="49" s="1"/>
  <c r="R201" i="49"/>
  <c r="E18" i="3"/>
  <c r="I18" i="3" s="1"/>
  <c r="K18" i="3" s="1"/>
  <c r="E22" i="3"/>
  <c r="I22" i="3" s="1"/>
  <c r="K22" i="3" s="1"/>
  <c r="P12" i="62"/>
  <c r="Q12" i="62" s="1"/>
  <c r="R12" i="62" s="1"/>
  <c r="Z12" i="62" s="1"/>
  <c r="AA12" i="62" s="1"/>
  <c r="Z33" i="48"/>
  <c r="AA33" i="48" s="1"/>
  <c r="V29" i="48"/>
  <c r="W29" i="48" s="1"/>
  <c r="U29" i="48"/>
  <c r="R214" i="49"/>
  <c r="M77" i="49"/>
  <c r="S214" i="49"/>
  <c r="N77" i="49"/>
  <c r="H77" i="49"/>
  <c r="J77" i="49" s="1"/>
  <c r="F35" i="49"/>
  <c r="G35" i="49"/>
  <c r="K35" i="49"/>
  <c r="A168" i="49"/>
  <c r="C35" i="49"/>
  <c r="B35" i="49"/>
  <c r="E35" i="49"/>
  <c r="D35" i="49"/>
  <c r="E28" i="59"/>
  <c r="I28" i="59" s="1"/>
  <c r="K28" i="59" s="1"/>
  <c r="Z16" i="57"/>
  <c r="AA16" i="57" s="1"/>
  <c r="M22" i="49"/>
  <c r="H22" i="49"/>
  <c r="J22" i="49" s="1"/>
  <c r="W22" i="49" s="1"/>
  <c r="Y22" i="49" s="1"/>
  <c r="R153" i="49"/>
  <c r="N22" i="49"/>
  <c r="S153" i="49"/>
  <c r="P56" i="57"/>
  <c r="Q56" i="57"/>
  <c r="R56" i="57" s="1"/>
  <c r="Q28" i="49"/>
  <c r="R28" i="49" s="1"/>
  <c r="S28" i="49" s="1"/>
  <c r="T159" i="49"/>
  <c r="AB93" i="49"/>
  <c r="P40" i="48"/>
  <c r="Q40" i="48"/>
  <c r="R40" i="48" s="1"/>
  <c r="Z40" i="48" s="1"/>
  <c r="AA40" i="48" s="1"/>
  <c r="T201" i="49"/>
  <c r="Q66" i="49"/>
  <c r="E41" i="3"/>
  <c r="I41" i="3" s="1"/>
  <c r="K41" i="3" s="1"/>
  <c r="E17" i="3"/>
  <c r="I17" i="3" s="1"/>
  <c r="K17" i="3" s="1"/>
  <c r="B99" i="49"/>
  <c r="A238" i="49"/>
  <c r="C99" i="49"/>
  <c r="E99" i="49"/>
  <c r="K99" i="49"/>
  <c r="D99" i="49"/>
  <c r="F99" i="49"/>
  <c r="G99" i="49"/>
  <c r="P29" i="48"/>
  <c r="Q29" i="48"/>
  <c r="R29" i="48" s="1"/>
  <c r="B41" i="49"/>
  <c r="E41" i="49"/>
  <c r="G41" i="49"/>
  <c r="D41" i="49"/>
  <c r="C41" i="49"/>
  <c r="A174" i="49"/>
  <c r="F41" i="49"/>
  <c r="K41" i="49"/>
  <c r="W77" i="49"/>
  <c r="Y77" i="49" s="1"/>
  <c r="E47" i="59"/>
  <c r="I47" i="59" s="1"/>
  <c r="K47" i="59" s="1"/>
  <c r="M27" i="49"/>
  <c r="N27" i="49"/>
  <c r="R158" i="49"/>
  <c r="H27" i="49"/>
  <c r="J27" i="49" s="1"/>
  <c r="V27" i="49" s="1"/>
  <c r="X27" i="49" s="1"/>
  <c r="S158" i="49"/>
  <c r="V22" i="49"/>
  <c r="X22" i="49" s="1"/>
  <c r="U56" i="57"/>
  <c r="V56" i="57"/>
  <c r="W56" i="57" s="1"/>
  <c r="F132" i="49"/>
  <c r="C132" i="49"/>
  <c r="G132" i="49"/>
  <c r="E132" i="49"/>
  <c r="K132" i="49"/>
  <c r="A273" i="49"/>
  <c r="B132" i="49"/>
  <c r="D132" i="49"/>
  <c r="V16" i="62"/>
  <c r="W16" i="62" s="1"/>
  <c r="U16" i="62"/>
  <c r="AB66" i="49"/>
  <c r="E30" i="3"/>
  <c r="I30" i="3" s="1"/>
  <c r="K30" i="3" s="1"/>
  <c r="Q145" i="49"/>
  <c r="J145" i="49"/>
  <c r="C145" i="49"/>
  <c r="Q215" i="49"/>
  <c r="J215" i="49"/>
  <c r="C215" i="49"/>
  <c r="A200" i="49"/>
  <c r="E65" i="49"/>
  <c r="K65" i="49"/>
  <c r="C65" i="49"/>
  <c r="B65" i="49"/>
  <c r="F65" i="49"/>
  <c r="D65" i="49"/>
  <c r="G65" i="49"/>
  <c r="U13" i="62"/>
  <c r="V13" i="62"/>
  <c r="W13" i="62" s="1"/>
  <c r="Z18" i="62"/>
  <c r="AA18" i="62" s="1"/>
  <c r="P45" i="56"/>
  <c r="Q45" i="56" s="1"/>
  <c r="R45" i="56" s="1"/>
  <c r="Z45" i="56" s="1"/>
  <c r="AA45" i="56" s="1"/>
  <c r="Z34" i="21"/>
  <c r="AA34" i="21" s="1"/>
  <c r="Z15" i="2"/>
  <c r="AA15" i="2" s="1"/>
  <c r="P13" i="62"/>
  <c r="Q13" i="62" s="1"/>
  <c r="R13" i="62" s="1"/>
  <c r="Z13" i="62" s="1"/>
  <c r="AA13" i="62" s="1"/>
  <c r="Z41" i="2"/>
  <c r="AA41" i="2" s="1"/>
  <c r="D106" i="49"/>
  <c r="B106" i="49"/>
  <c r="C106" i="49"/>
  <c r="E106" i="49"/>
  <c r="F106" i="49"/>
  <c r="G106" i="49"/>
  <c r="K106" i="49"/>
  <c r="A245" i="49"/>
  <c r="C157" i="49"/>
  <c r="J157" i="49"/>
  <c r="Q157" i="49"/>
  <c r="E19" i="3"/>
  <c r="I19" i="3" s="1"/>
  <c r="K19" i="3" s="1"/>
  <c r="C218" i="49"/>
  <c r="J218" i="49"/>
  <c r="Q218" i="49"/>
  <c r="E9" i="59"/>
  <c r="I9" i="59" s="1"/>
  <c r="Q152" i="49"/>
  <c r="J152" i="49"/>
  <c r="C152" i="49"/>
  <c r="U39" i="48"/>
  <c r="V39" i="48" s="1"/>
  <c r="W39" i="48" s="1"/>
  <c r="V23" i="49"/>
  <c r="X23" i="49" s="1"/>
  <c r="V129" i="49"/>
  <c r="X129" i="49" s="1"/>
  <c r="N59" i="49"/>
  <c r="R194" i="49"/>
  <c r="S194" i="49"/>
  <c r="H59" i="49"/>
  <c r="J59" i="49" s="1"/>
  <c r="V59" i="49" s="1"/>
  <c r="X59" i="49" s="1"/>
  <c r="Z59" i="49" s="1"/>
  <c r="AA59" i="49" s="1"/>
  <c r="M59" i="49"/>
  <c r="O59" i="49" s="1"/>
  <c r="P59" i="49" s="1"/>
  <c r="W16" i="49"/>
  <c r="Y16" i="49" s="1"/>
  <c r="Z38" i="56"/>
  <c r="AA38" i="56" s="1"/>
  <c r="B98" i="49"/>
  <c r="C98" i="49"/>
  <c r="D98" i="49"/>
  <c r="F98" i="49"/>
  <c r="K98" i="49"/>
  <c r="E98" i="49"/>
  <c r="A237" i="49"/>
  <c r="G98" i="49"/>
  <c r="P14" i="48"/>
  <c r="Q14" i="48" s="1"/>
  <c r="R14" i="48" s="1"/>
  <c r="T214" i="49"/>
  <c r="Q77" i="49"/>
  <c r="Z19" i="57"/>
  <c r="AA19" i="57" s="1"/>
  <c r="J151" i="49"/>
  <c r="Q151" i="49"/>
  <c r="C151" i="49"/>
  <c r="A148" i="49"/>
  <c r="D17" i="49"/>
  <c r="G17" i="49"/>
  <c r="F17" i="49"/>
  <c r="AB17" i="49" s="1"/>
  <c r="E17" i="49"/>
  <c r="C17" i="49"/>
  <c r="B17" i="49"/>
  <c r="K17" i="49"/>
  <c r="P52" i="56"/>
  <c r="Q52" i="56" s="1"/>
  <c r="R52" i="56" s="1"/>
  <c r="Z52" i="56" s="1"/>
  <c r="AA52" i="56" s="1"/>
  <c r="Z54" i="21"/>
  <c r="AA54" i="21" s="1"/>
  <c r="C214" i="49"/>
  <c r="Q214" i="49"/>
  <c r="J214" i="49"/>
  <c r="E24" i="59"/>
  <c r="I24" i="59" s="1"/>
  <c r="K24" i="59" s="1"/>
  <c r="C30" i="49"/>
  <c r="G30" i="49"/>
  <c r="B30" i="49"/>
  <c r="F30" i="49"/>
  <c r="A161" i="49"/>
  <c r="E30" i="49"/>
  <c r="K30" i="49"/>
  <c r="D30" i="49"/>
  <c r="K130" i="49"/>
  <c r="C130" i="49"/>
  <c r="B130" i="49"/>
  <c r="D130" i="49"/>
  <c r="E130" i="49"/>
  <c r="A271" i="49"/>
  <c r="G130" i="49"/>
  <c r="F130" i="49"/>
  <c r="AB130" i="49" s="1"/>
  <c r="B103" i="49"/>
  <c r="A242" i="49"/>
  <c r="D103" i="49"/>
  <c r="K103" i="49"/>
  <c r="C103" i="49"/>
  <c r="E103" i="49"/>
  <c r="F103" i="49"/>
  <c r="G103" i="49"/>
  <c r="AB28" i="49"/>
  <c r="E52" i="3"/>
  <c r="I52" i="3" s="1"/>
  <c r="K52" i="3" s="1"/>
  <c r="E42" i="3"/>
  <c r="I42" i="3" s="1"/>
  <c r="K42" i="3" s="1"/>
  <c r="Q78" i="49"/>
  <c r="R78" i="49" s="1"/>
  <c r="S78" i="49" s="1"/>
  <c r="T215" i="49"/>
  <c r="E40" i="3"/>
  <c r="I40" i="3" s="1"/>
  <c r="K40" i="3" s="1"/>
  <c r="E38" i="3"/>
  <c r="I38" i="3" s="1"/>
  <c r="K38" i="3" s="1"/>
  <c r="V115" i="49"/>
  <c r="X115" i="49" s="1"/>
  <c r="T228" i="49"/>
  <c r="Q91" i="49"/>
  <c r="Q92" i="49"/>
  <c r="T229" i="49"/>
  <c r="T199" i="49"/>
  <c r="Q64" i="49"/>
  <c r="E67" i="49"/>
  <c r="A202" i="49"/>
  <c r="F67" i="49"/>
  <c r="G67" i="49"/>
  <c r="C67" i="49"/>
  <c r="B67" i="49"/>
  <c r="K67" i="49"/>
  <c r="D67" i="49"/>
  <c r="Q68" i="49"/>
  <c r="T203" i="49"/>
  <c r="U52" i="56"/>
  <c r="V52" i="56" s="1"/>
  <c r="W52" i="56" s="1"/>
  <c r="G55" i="49"/>
  <c r="K55" i="49"/>
  <c r="A190" i="49"/>
  <c r="C55" i="49"/>
  <c r="E55" i="49"/>
  <c r="F55" i="49"/>
  <c r="AB55" i="49" s="1"/>
  <c r="B55" i="49"/>
  <c r="D55" i="49"/>
  <c r="V77" i="49"/>
  <c r="X77" i="49" s="1"/>
  <c r="Z77" i="49" s="1"/>
  <c r="AA77" i="49" s="1"/>
  <c r="Z19" i="56"/>
  <c r="AA19" i="56" s="1"/>
  <c r="D84" i="49"/>
  <c r="E84" i="49"/>
  <c r="F84" i="49"/>
  <c r="AB84" i="49" s="1"/>
  <c r="K84" i="49"/>
  <c r="C84" i="49"/>
  <c r="G84" i="49"/>
  <c r="A221" i="49"/>
  <c r="B84" i="49"/>
  <c r="E43" i="59"/>
  <c r="I43" i="59" s="1"/>
  <c r="K43" i="59" s="1"/>
  <c r="G25" i="49"/>
  <c r="K25" i="49"/>
  <c r="B25" i="49"/>
  <c r="E25" i="49"/>
  <c r="C25" i="49"/>
  <c r="F25" i="49"/>
  <c r="AB25" i="49" s="1"/>
  <c r="D25" i="49"/>
  <c r="A156" i="49"/>
  <c r="C158" i="49"/>
  <c r="Q158" i="49"/>
  <c r="J158" i="49"/>
  <c r="Q22" i="49"/>
  <c r="T153" i="49"/>
  <c r="D43" i="49"/>
  <c r="E43" i="49"/>
  <c r="F43" i="49"/>
  <c r="G43" i="49"/>
  <c r="K43" i="49"/>
  <c r="B43" i="49"/>
  <c r="A176" i="49"/>
  <c r="C43" i="49"/>
  <c r="V66" i="49"/>
  <c r="X66" i="49" s="1"/>
  <c r="E21" i="3"/>
  <c r="I21" i="3" s="1"/>
  <c r="K21" i="3" s="1"/>
  <c r="N20" i="49"/>
  <c r="M20" i="49"/>
  <c r="O20" i="49" s="1"/>
  <c r="P20" i="49" s="1"/>
  <c r="S151" i="49"/>
  <c r="H20" i="49"/>
  <c r="J20" i="49" s="1"/>
  <c r="V20" i="49" s="1"/>
  <c r="X20" i="49" s="1"/>
  <c r="R151" i="49"/>
  <c r="Q75" i="49"/>
  <c r="T212" i="49"/>
  <c r="K85" i="49"/>
  <c r="A222" i="49"/>
  <c r="F85" i="49"/>
  <c r="AB85" i="49" s="1"/>
  <c r="G85" i="49"/>
  <c r="B85" i="49"/>
  <c r="C85" i="49"/>
  <c r="D85" i="49"/>
  <c r="E85" i="49"/>
  <c r="E47" i="49"/>
  <c r="G47" i="49"/>
  <c r="D47" i="49"/>
  <c r="B47" i="49"/>
  <c r="K47" i="49"/>
  <c r="C47" i="49"/>
  <c r="F47" i="49"/>
  <c r="A180" i="49"/>
  <c r="U51" i="21"/>
  <c r="V51" i="21"/>
  <c r="W51" i="21" s="1"/>
  <c r="P26" i="48"/>
  <c r="Q26" i="48"/>
  <c r="R26" i="48" s="1"/>
  <c r="C87" i="49"/>
  <c r="K87" i="49"/>
  <c r="E87" i="49"/>
  <c r="F87" i="49"/>
  <c r="B87" i="49"/>
  <c r="D87" i="49"/>
  <c r="A224" i="49"/>
  <c r="G87" i="49"/>
  <c r="E13" i="3"/>
  <c r="I13" i="3" s="1"/>
  <c r="K13" i="3" s="1"/>
  <c r="P51" i="21"/>
  <c r="Q51" i="21" s="1"/>
  <c r="R51" i="21" s="1"/>
  <c r="Z51" i="21" s="1"/>
  <c r="AA51" i="21" s="1"/>
  <c r="F19" i="49"/>
  <c r="K19" i="49"/>
  <c r="E19" i="49"/>
  <c r="D19" i="49"/>
  <c r="C19" i="49"/>
  <c r="A150" i="49"/>
  <c r="B19" i="49"/>
  <c r="G19" i="49"/>
  <c r="K135" i="49"/>
  <c r="F135" i="49"/>
  <c r="A276" i="49"/>
  <c r="D135" i="49"/>
  <c r="B135" i="49"/>
  <c r="G135" i="49"/>
  <c r="E135" i="49"/>
  <c r="C135" i="49"/>
  <c r="E49" i="59"/>
  <c r="I49" i="59" s="1"/>
  <c r="K49" i="59" s="1"/>
  <c r="U30" i="2"/>
  <c r="V30" i="2"/>
  <c r="W30" i="2" s="1"/>
  <c r="Z57" i="2"/>
  <c r="AA57" i="2" s="1"/>
  <c r="Q62" i="49"/>
  <c r="R62" i="49" s="1"/>
  <c r="S62" i="49" s="1"/>
  <c r="T197" i="49"/>
  <c r="S155" i="49"/>
  <c r="H24" i="49"/>
  <c r="J24" i="49" s="1"/>
  <c r="V24" i="49" s="1"/>
  <c r="X24" i="49" s="1"/>
  <c r="M24" i="49"/>
  <c r="N24" i="49"/>
  <c r="R155" i="49"/>
  <c r="U32" i="57"/>
  <c r="V32" i="57"/>
  <c r="W32" i="57" s="1"/>
  <c r="E27" i="3"/>
  <c r="I27" i="3" s="1"/>
  <c r="K27" i="3" s="1"/>
  <c r="T254" i="49"/>
  <c r="Q115" i="49"/>
  <c r="P30" i="57"/>
  <c r="Q30" i="57"/>
  <c r="R30" i="57" s="1"/>
  <c r="Z34" i="57"/>
  <c r="AA34" i="57" s="1"/>
  <c r="P28" i="48"/>
  <c r="Q28" i="48"/>
  <c r="R28" i="48" s="1"/>
  <c r="E45" i="59"/>
  <c r="I45" i="59" s="1"/>
  <c r="K45" i="59" s="1"/>
  <c r="D69" i="49"/>
  <c r="K69" i="49"/>
  <c r="B69" i="49"/>
  <c r="G69" i="49"/>
  <c r="F69" i="49"/>
  <c r="AB69" i="49" s="1"/>
  <c r="A204" i="49"/>
  <c r="C69" i="49"/>
  <c r="E69" i="49"/>
  <c r="Q195" i="49"/>
  <c r="T145" i="49"/>
  <c r="Q14" i="49"/>
  <c r="R254" i="49"/>
  <c r="M115" i="49"/>
  <c r="S254" i="49"/>
  <c r="N115" i="49"/>
  <c r="H115" i="49"/>
  <c r="J115" i="49" s="1"/>
  <c r="W115" i="49" s="1"/>
  <c r="Y115" i="49" s="1"/>
  <c r="P53" i="62"/>
  <c r="Q53" i="62" s="1"/>
  <c r="R53" i="62" s="1"/>
  <c r="Z53" i="62" s="1"/>
  <c r="AA53" i="62" s="1"/>
  <c r="J203" i="49"/>
  <c r="Q203" i="49"/>
  <c r="C203" i="49"/>
  <c r="E22" i="59"/>
  <c r="I22" i="59" s="1"/>
  <c r="K22" i="59" s="1"/>
  <c r="G42" i="49"/>
  <c r="D42" i="49"/>
  <c r="E42" i="49"/>
  <c r="F42" i="49"/>
  <c r="AB42" i="49" s="1"/>
  <c r="B42" i="49"/>
  <c r="C42" i="49"/>
  <c r="K42" i="49"/>
  <c r="A175" i="49"/>
  <c r="E23" i="3"/>
  <c r="I23" i="3" s="1"/>
  <c r="K23" i="3" s="1"/>
  <c r="Q254" i="49"/>
  <c r="U53" i="62"/>
  <c r="V53" i="62"/>
  <c r="W53" i="62" s="1"/>
  <c r="S203" i="49"/>
  <c r="R203" i="49"/>
  <c r="M68" i="49"/>
  <c r="N68" i="49"/>
  <c r="H68" i="49"/>
  <c r="J68" i="49" s="1"/>
  <c r="V68" i="49" s="1"/>
  <c r="X68" i="49" s="1"/>
  <c r="Z68" i="49" s="1"/>
  <c r="AA68" i="49" s="1"/>
  <c r="A235" i="49"/>
  <c r="E31" i="63"/>
  <c r="I31" i="63" s="1"/>
  <c r="K31" i="63" s="1"/>
  <c r="E55" i="63"/>
  <c r="I55" i="63" s="1"/>
  <c r="K55" i="63" s="1"/>
  <c r="E25" i="63"/>
  <c r="I25" i="63" s="1"/>
  <c r="K25" i="63" s="1"/>
  <c r="E39" i="63"/>
  <c r="I39" i="63" s="1"/>
  <c r="K39" i="63" s="1"/>
  <c r="E43" i="63"/>
  <c r="I43" i="63" s="1"/>
  <c r="K43" i="63" s="1"/>
  <c r="E48" i="63"/>
  <c r="I48" i="63" s="1"/>
  <c r="K48" i="63" s="1"/>
  <c r="E37" i="63"/>
  <c r="I37" i="63" s="1"/>
  <c r="K37" i="63" s="1"/>
  <c r="E30" i="63"/>
  <c r="I30" i="63" s="1"/>
  <c r="K30" i="63" s="1"/>
  <c r="E22" i="63"/>
  <c r="I22" i="63" s="1"/>
  <c r="K22" i="63" s="1"/>
  <c r="E42" i="63"/>
  <c r="I42" i="63" s="1"/>
  <c r="K42" i="63" s="1"/>
  <c r="E10" i="63"/>
  <c r="I10" i="63" s="1"/>
  <c r="K10" i="63" s="1"/>
  <c r="E46" i="63"/>
  <c r="I46" i="63" s="1"/>
  <c r="K46" i="63" s="1"/>
  <c r="E26" i="63"/>
  <c r="I26" i="63" s="1"/>
  <c r="K26" i="63" s="1"/>
  <c r="E27" i="63"/>
  <c r="I27" i="63" s="1"/>
  <c r="K27" i="63" s="1"/>
  <c r="E35" i="63"/>
  <c r="I35" i="63" s="1"/>
  <c r="K35" i="63" s="1"/>
  <c r="E19" i="63"/>
  <c r="I19" i="63" s="1"/>
  <c r="K19" i="63" s="1"/>
  <c r="E41" i="63"/>
  <c r="I41" i="63" s="1"/>
  <c r="K41" i="63" s="1"/>
  <c r="E45" i="63"/>
  <c r="I45" i="63" s="1"/>
  <c r="K45" i="63" s="1"/>
  <c r="E40" i="63"/>
  <c r="I40" i="63" s="1"/>
  <c r="K40" i="63" s="1"/>
  <c r="G96" i="49"/>
  <c r="E34" i="63"/>
  <c r="I34" i="63" s="1"/>
  <c r="K34" i="63" s="1"/>
  <c r="F96" i="49"/>
  <c r="AB96" i="49" s="1"/>
  <c r="E96" i="49"/>
  <c r="E56" i="63"/>
  <c r="I56" i="63" s="1"/>
  <c r="K56" i="63" s="1"/>
  <c r="E11" i="63"/>
  <c r="I11" i="63" s="1"/>
  <c r="K11" i="63" s="1"/>
  <c r="E32" i="63"/>
  <c r="I32" i="63" s="1"/>
  <c r="K32" i="63" s="1"/>
  <c r="E50" i="63"/>
  <c r="I50" i="63" s="1"/>
  <c r="K50" i="63" s="1"/>
  <c r="B96" i="49"/>
  <c r="E47" i="63"/>
  <c r="I47" i="63" s="1"/>
  <c r="K47" i="63" s="1"/>
  <c r="E57" i="63"/>
  <c r="I57" i="63" s="1"/>
  <c r="K57" i="63" s="1"/>
  <c r="K96" i="49"/>
  <c r="E51" i="63"/>
  <c r="I51" i="63" s="1"/>
  <c r="K51" i="63" s="1"/>
  <c r="C96" i="49"/>
  <c r="E18" i="63"/>
  <c r="I18" i="63" s="1"/>
  <c r="K18" i="63" s="1"/>
  <c r="E23" i="63"/>
  <c r="I23" i="63" s="1"/>
  <c r="K23" i="63" s="1"/>
  <c r="E15" i="63"/>
  <c r="I15" i="63" s="1"/>
  <c r="K15" i="63" s="1"/>
  <c r="E29" i="63"/>
  <c r="I29" i="63" s="1"/>
  <c r="K29" i="63" s="1"/>
  <c r="E14" i="63"/>
  <c r="I14" i="63" s="1"/>
  <c r="K14" i="63" s="1"/>
  <c r="E12" i="63"/>
  <c r="I12" i="63" s="1"/>
  <c r="K12" i="63" s="1"/>
  <c r="E24" i="63"/>
  <c r="I24" i="63" s="1"/>
  <c r="K24" i="63" s="1"/>
  <c r="E28" i="63"/>
  <c r="I28" i="63" s="1"/>
  <c r="K28" i="63" s="1"/>
  <c r="D96" i="49"/>
  <c r="C254" i="49" s="1"/>
  <c r="E13" i="63"/>
  <c r="I13" i="63" s="1"/>
  <c r="K13" i="63" s="1"/>
  <c r="E21" i="63"/>
  <c r="I21" i="63" s="1"/>
  <c r="K21" i="63" s="1"/>
  <c r="E49" i="63"/>
  <c r="I49" i="63" s="1"/>
  <c r="K49" i="63" s="1"/>
  <c r="E54" i="63"/>
  <c r="I54" i="63" s="1"/>
  <c r="K54" i="63" s="1"/>
  <c r="E16" i="63"/>
  <c r="I16" i="63" s="1"/>
  <c r="K16" i="63" s="1"/>
  <c r="E17" i="63"/>
  <c r="I17" i="63" s="1"/>
  <c r="K17" i="63" s="1"/>
  <c r="E53" i="63"/>
  <c r="I53" i="63" s="1"/>
  <c r="K53" i="63" s="1"/>
  <c r="E44" i="63"/>
  <c r="I44" i="63" s="1"/>
  <c r="K44" i="63" s="1"/>
  <c r="E52" i="63"/>
  <c r="I52" i="63" s="1"/>
  <c r="K52" i="63" s="1"/>
  <c r="E33" i="63"/>
  <c r="I33" i="63" s="1"/>
  <c r="K33" i="63" s="1"/>
  <c r="E38" i="63"/>
  <c r="I38" i="63" s="1"/>
  <c r="K38" i="63" s="1"/>
  <c r="E36" i="63"/>
  <c r="I36" i="63" s="1"/>
  <c r="K36" i="63" s="1"/>
  <c r="E9" i="63"/>
  <c r="I9" i="63" s="1"/>
  <c r="E58" i="63"/>
  <c r="I58" i="63" s="1"/>
  <c r="K58" i="63" s="1"/>
  <c r="E20" i="63"/>
  <c r="I20" i="63" s="1"/>
  <c r="K20" i="63" s="1"/>
  <c r="U28" i="48"/>
  <c r="V28" i="48"/>
  <c r="W28" i="48" s="1"/>
  <c r="E37" i="59"/>
  <c r="I37" i="59" s="1"/>
  <c r="K37" i="59" s="1"/>
  <c r="E34" i="59"/>
  <c r="I34" i="59" s="1"/>
  <c r="K34" i="59" s="1"/>
  <c r="Z46" i="48"/>
  <c r="AA46" i="48" s="1"/>
  <c r="V92" i="49"/>
  <c r="X92" i="49" s="1"/>
  <c r="Z92" i="49" s="1"/>
  <c r="AA92" i="49" s="1"/>
  <c r="Z51" i="62"/>
  <c r="AA51" i="62" s="1"/>
  <c r="Z12" i="49"/>
  <c r="AA12" i="49" s="1"/>
  <c r="V60" i="49"/>
  <c r="X60" i="49" s="1"/>
  <c r="Z60" i="49" s="1"/>
  <c r="AA60" i="49" s="1"/>
  <c r="Q155" i="49"/>
  <c r="C155" i="49"/>
  <c r="J155" i="49"/>
  <c r="P38" i="2"/>
  <c r="Q38" i="2"/>
  <c r="R38" i="2" s="1"/>
  <c r="Z38" i="2" s="1"/>
  <c r="AA38" i="2" s="1"/>
  <c r="Z48" i="48"/>
  <c r="AA48" i="48" s="1"/>
  <c r="E51" i="3"/>
  <c r="I51" i="3" s="1"/>
  <c r="K51" i="3" s="1"/>
  <c r="E44" i="3"/>
  <c r="I44" i="3" s="1"/>
  <c r="K44" i="3" s="1"/>
  <c r="H64" i="49"/>
  <c r="J64" i="49" s="1"/>
  <c r="V64" i="49" s="1"/>
  <c r="X64" i="49" s="1"/>
  <c r="Z64" i="49" s="1"/>
  <c r="AA64" i="49" s="1"/>
  <c r="R199" i="49"/>
  <c r="S199" i="49"/>
  <c r="M64" i="49"/>
  <c r="O64" i="49" s="1"/>
  <c r="P64" i="49" s="1"/>
  <c r="N64" i="49"/>
  <c r="S159" i="49"/>
  <c r="R159" i="49"/>
  <c r="N28" i="49"/>
  <c r="M28" i="49"/>
  <c r="O28" i="49" s="1"/>
  <c r="P28" i="49" s="1"/>
  <c r="H28" i="49"/>
  <c r="J28" i="49" s="1"/>
  <c r="W28" i="49" s="1"/>
  <c r="Y28" i="49" s="1"/>
  <c r="E32" i="3"/>
  <c r="I32" i="3" s="1"/>
  <c r="K32" i="3" s="1"/>
  <c r="D104" i="49"/>
  <c r="A243" i="49"/>
  <c r="K104" i="49"/>
  <c r="G104" i="49"/>
  <c r="F104" i="49"/>
  <c r="AB104" i="49" s="1"/>
  <c r="B104" i="49"/>
  <c r="C104" i="49"/>
  <c r="E104" i="49"/>
  <c r="P30" i="2"/>
  <c r="Q30" i="2" s="1"/>
  <c r="R30" i="2" s="1"/>
  <c r="Z30" i="2" s="1"/>
  <c r="AA30" i="2" s="1"/>
  <c r="D45" i="49"/>
  <c r="F45" i="49"/>
  <c r="B45" i="49"/>
  <c r="A178" i="49"/>
  <c r="G45" i="49"/>
  <c r="E45" i="49"/>
  <c r="C45" i="49"/>
  <c r="K45" i="49"/>
  <c r="U26" i="48"/>
  <c r="V26" i="48" s="1"/>
  <c r="W26" i="48" s="1"/>
  <c r="Q159" i="49"/>
  <c r="J159" i="49"/>
  <c r="C159" i="49"/>
  <c r="E44" i="59"/>
  <c r="I44" i="59" s="1"/>
  <c r="K44" i="59" s="1"/>
  <c r="Z20" i="57"/>
  <c r="AA20" i="57" s="1"/>
  <c r="E120" i="49"/>
  <c r="B120" i="49"/>
  <c r="C120" i="49"/>
  <c r="D120" i="49"/>
  <c r="G120" i="49"/>
  <c r="A261" i="49"/>
  <c r="K120" i="49"/>
  <c r="F120" i="49"/>
  <c r="AB120" i="49" s="1"/>
  <c r="Q24" i="49"/>
  <c r="T155" i="49"/>
  <c r="D108" i="49"/>
  <c r="E108" i="49"/>
  <c r="B108" i="49"/>
  <c r="C108" i="49"/>
  <c r="F108" i="49"/>
  <c r="A247" i="49"/>
  <c r="K108" i="49"/>
  <c r="G108" i="49"/>
  <c r="E24" i="3"/>
  <c r="I24" i="3" s="1"/>
  <c r="K24" i="3" s="1"/>
  <c r="Z13" i="2"/>
  <c r="AA13" i="2" s="1"/>
  <c r="U30" i="57"/>
  <c r="V30" i="57" s="1"/>
  <c r="W30" i="57" s="1"/>
  <c r="A227" i="49"/>
  <c r="D90" i="49"/>
  <c r="C90" i="49"/>
  <c r="K90" i="49"/>
  <c r="G90" i="49"/>
  <c r="E90" i="49"/>
  <c r="F90" i="49"/>
  <c r="AB90" i="49" s="1"/>
  <c r="B90" i="49"/>
  <c r="E46" i="59"/>
  <c r="I46" i="59" s="1"/>
  <c r="K46" i="59" s="1"/>
  <c r="B134" i="49"/>
  <c r="K134" i="49"/>
  <c r="G134" i="49"/>
  <c r="C134" i="49"/>
  <c r="D134" i="49"/>
  <c r="A275" i="49"/>
  <c r="F134" i="49"/>
  <c r="AB134" i="49" s="1"/>
  <c r="E134" i="49"/>
  <c r="W60" i="49"/>
  <c r="Y60" i="49" s="1"/>
  <c r="E28" i="3"/>
  <c r="I28" i="3" s="1"/>
  <c r="K28" i="3" s="1"/>
  <c r="F63" i="49"/>
  <c r="G63" i="49"/>
  <c r="A198" i="49"/>
  <c r="K63" i="49"/>
  <c r="D63" i="49"/>
  <c r="B63" i="49"/>
  <c r="C63" i="49"/>
  <c r="E63" i="49"/>
  <c r="Q20" i="49"/>
  <c r="T151" i="49"/>
  <c r="W68" i="49"/>
  <c r="Y68" i="49" s="1"/>
  <c r="E31" i="59"/>
  <c r="I31" i="59" s="1"/>
  <c r="K31" i="59" s="1"/>
  <c r="E9" i="3"/>
  <c r="I9" i="3" s="1"/>
  <c r="E39" i="49"/>
  <c r="A172" i="49"/>
  <c r="D39" i="49"/>
  <c r="B39" i="49"/>
  <c r="C39" i="49"/>
  <c r="F39" i="49"/>
  <c r="AB39" i="49" s="1"/>
  <c r="G39" i="49"/>
  <c r="K39" i="49"/>
  <c r="E52" i="59"/>
  <c r="I52" i="59" s="1"/>
  <c r="K52" i="59" s="1"/>
  <c r="W92" i="49"/>
  <c r="Y92" i="49" s="1"/>
  <c r="Q197" i="49"/>
  <c r="N60" i="49"/>
  <c r="H60" i="49"/>
  <c r="J60" i="49" s="1"/>
  <c r="S195" i="49"/>
  <c r="R195" i="49"/>
  <c r="M60" i="49"/>
  <c r="Z45" i="62"/>
  <c r="AA45" i="62" s="1"/>
  <c r="P32" i="57"/>
  <c r="Q32" i="57"/>
  <c r="R32" i="57" s="1"/>
  <c r="E39" i="3"/>
  <c r="I39" i="3" s="1"/>
  <c r="K39" i="3" s="1"/>
  <c r="P20" i="56"/>
  <c r="Q20" i="56" s="1"/>
  <c r="R20" i="56" s="1"/>
  <c r="Z20" i="56" s="1"/>
  <c r="AA20" i="56" s="1"/>
  <c r="F18" i="49"/>
  <c r="D18" i="49"/>
  <c r="C18" i="49"/>
  <c r="G18" i="49"/>
  <c r="A149" i="49"/>
  <c r="B18" i="49"/>
  <c r="K18" i="49"/>
  <c r="E18" i="49"/>
  <c r="U20" i="56"/>
  <c r="V20" i="56"/>
  <c r="W20" i="56" s="1"/>
  <c r="AB115" i="49"/>
  <c r="G105" i="49"/>
  <c r="K105" i="49"/>
  <c r="A244" i="49"/>
  <c r="C105" i="49"/>
  <c r="D105" i="49"/>
  <c r="E105" i="49"/>
  <c r="F105" i="49"/>
  <c r="AB105" i="49" s="1"/>
  <c r="B105" i="49"/>
  <c r="U45" i="56"/>
  <c r="V45" i="56"/>
  <c r="W45" i="56" s="1"/>
  <c r="E136" i="49"/>
  <c r="G136" i="49"/>
  <c r="F136" i="49"/>
  <c r="AB136" i="49" s="1"/>
  <c r="K136" i="49"/>
  <c r="A277" i="49"/>
  <c r="C136" i="49"/>
  <c r="D136" i="49"/>
  <c r="B136" i="49"/>
  <c r="E17" i="59"/>
  <c r="I17" i="59" s="1"/>
  <c r="K17" i="59" s="1"/>
  <c r="E54" i="59"/>
  <c r="I54" i="59" s="1"/>
  <c r="K54" i="59" s="1"/>
  <c r="C225" i="49"/>
  <c r="J225" i="49"/>
  <c r="Q225" i="49"/>
  <c r="AB92" i="49"/>
  <c r="J226" i="49"/>
  <c r="C226" i="49"/>
  <c r="Q226" i="49"/>
  <c r="E29" i="3"/>
  <c r="I29" i="3" s="1"/>
  <c r="K29" i="3" s="1"/>
  <c r="E53" i="3"/>
  <c r="I53" i="3" s="1"/>
  <c r="K53" i="3" s="1"/>
  <c r="Q199" i="49"/>
  <c r="W64" i="49"/>
  <c r="Y64" i="49" s="1"/>
  <c r="S219" i="49"/>
  <c r="R219" i="49"/>
  <c r="M82" i="49"/>
  <c r="H82" i="49"/>
  <c r="J82" i="49" s="1"/>
  <c r="W82" i="49" s="1"/>
  <c r="Y82" i="49" s="1"/>
  <c r="N82" i="49"/>
  <c r="V82" i="49"/>
  <c r="X82" i="49" s="1"/>
  <c r="Q82" i="49"/>
  <c r="T219" i="49"/>
  <c r="Z24" i="48"/>
  <c r="AA24" i="48" s="1"/>
  <c r="U38" i="2"/>
  <c r="V38" i="2"/>
  <c r="W38" i="2" s="1"/>
  <c r="Z36" i="62"/>
  <c r="AA36" i="62" s="1"/>
  <c r="K52" i="49"/>
  <c r="C52" i="49"/>
  <c r="D52" i="49"/>
  <c r="E52" i="49"/>
  <c r="G52" i="49"/>
  <c r="A185" i="49"/>
  <c r="B52" i="49"/>
  <c r="F52" i="49"/>
  <c r="AB52" i="49" s="1"/>
  <c r="H91" i="49"/>
  <c r="J91" i="49" s="1"/>
  <c r="W91" i="49" s="1"/>
  <c r="Y91" i="49" s="1"/>
  <c r="N91" i="49"/>
  <c r="S228" i="49"/>
  <c r="R228" i="49"/>
  <c r="M91" i="49"/>
  <c r="Z19" i="21"/>
  <c r="AA19" i="21" s="1"/>
  <c r="E100" i="49"/>
  <c r="D100" i="49"/>
  <c r="K100" i="49"/>
  <c r="A239" i="49"/>
  <c r="B100" i="49"/>
  <c r="C100" i="49"/>
  <c r="F100" i="49"/>
  <c r="G100" i="49"/>
  <c r="AB62" i="49"/>
  <c r="U55" i="62"/>
  <c r="V55" i="62"/>
  <c r="W55" i="62" s="1"/>
  <c r="E33" i="59"/>
  <c r="I33" i="59" s="1"/>
  <c r="K33" i="59" s="1"/>
  <c r="E49" i="3"/>
  <c r="I49" i="3" s="1"/>
  <c r="K49" i="3" s="1"/>
  <c r="E14" i="59"/>
  <c r="I14" i="59" s="1"/>
  <c r="K14" i="59" s="1"/>
  <c r="E15" i="59"/>
  <c r="I15" i="59" s="1"/>
  <c r="K15" i="59" s="1"/>
  <c r="Z56" i="2"/>
  <c r="AA56" i="2" s="1"/>
  <c r="P45" i="21"/>
  <c r="Q45" i="21" s="1"/>
  <c r="R45" i="21" s="1"/>
  <c r="A207" i="49"/>
  <c r="C72" i="49"/>
  <c r="B72" i="49"/>
  <c r="G72" i="49"/>
  <c r="E72" i="49"/>
  <c r="K72" i="49"/>
  <c r="D72" i="49"/>
  <c r="F72" i="49"/>
  <c r="AB72" i="49" s="1"/>
  <c r="P50" i="48"/>
  <c r="Q50" i="48"/>
  <c r="R50" i="48" s="1"/>
  <c r="Z50" i="48" s="1"/>
  <c r="AA50" i="48" s="1"/>
  <c r="P43" i="56"/>
  <c r="Q43" i="56" s="1"/>
  <c r="R43" i="56" s="1"/>
  <c r="Z43" i="56" s="1"/>
  <c r="AA43" i="56" s="1"/>
  <c r="T160" i="49"/>
  <c r="Q29" i="49"/>
  <c r="E48" i="3"/>
  <c r="I48" i="3" s="1"/>
  <c r="K48" i="3" s="1"/>
  <c r="M81" i="49"/>
  <c r="H81" i="49"/>
  <c r="J81" i="49" s="1"/>
  <c r="V81" i="49" s="1"/>
  <c r="X81" i="49" s="1"/>
  <c r="Z81" i="49" s="1"/>
  <c r="AA81" i="49" s="1"/>
  <c r="N81" i="49"/>
  <c r="R218" i="49"/>
  <c r="S218" i="49"/>
  <c r="Q26" i="49"/>
  <c r="T157" i="49"/>
  <c r="U49" i="57"/>
  <c r="V49" i="57"/>
  <c r="W49" i="57" s="1"/>
  <c r="E41" i="59"/>
  <c r="I41" i="59" s="1"/>
  <c r="K41" i="59" s="1"/>
  <c r="T154" i="49"/>
  <c r="Q23" i="49"/>
  <c r="P10" i="48"/>
  <c r="Q10" i="48"/>
  <c r="R10" i="48" s="1"/>
  <c r="AB16" i="49"/>
  <c r="E50" i="3"/>
  <c r="I50" i="3" s="1"/>
  <c r="K50" i="3" s="1"/>
  <c r="U11" i="56"/>
  <c r="V11" i="56"/>
  <c r="W11" i="56" s="1"/>
  <c r="W81" i="49"/>
  <c r="Y81" i="49" s="1"/>
  <c r="U9" i="48"/>
  <c r="V9" i="48"/>
  <c r="W9" i="48" s="1"/>
  <c r="B125" i="49"/>
  <c r="D125" i="49"/>
  <c r="C125" i="49"/>
  <c r="G125" i="49"/>
  <c r="F125" i="49"/>
  <c r="K125" i="49"/>
  <c r="E125" i="49"/>
  <c r="A266" i="49"/>
  <c r="J223" i="49"/>
  <c r="Q223" i="49"/>
  <c r="C223" i="49"/>
  <c r="P24" i="21"/>
  <c r="Q24" i="21"/>
  <c r="R24" i="21" s="1"/>
  <c r="Z24" i="21" s="1"/>
  <c r="AA24" i="21" s="1"/>
  <c r="P36" i="56"/>
  <c r="Q36" i="56" s="1"/>
  <c r="R36" i="56" s="1"/>
  <c r="Z36" i="56" s="1"/>
  <c r="AA36" i="56" s="1"/>
  <c r="B128" i="49"/>
  <c r="F128" i="49"/>
  <c r="AB128" i="49" s="1"/>
  <c r="K128" i="49"/>
  <c r="C128" i="49"/>
  <c r="A269" i="49"/>
  <c r="E128" i="49"/>
  <c r="G128" i="49"/>
  <c r="D128" i="49"/>
  <c r="J216" i="49"/>
  <c r="C216" i="49"/>
  <c r="Q216" i="49"/>
  <c r="C49" i="49"/>
  <c r="A182" i="49"/>
  <c r="G49" i="49"/>
  <c r="K49" i="49"/>
  <c r="F49" i="49"/>
  <c r="AB49" i="49" s="1"/>
  <c r="B49" i="49"/>
  <c r="E49" i="49"/>
  <c r="D49" i="49"/>
  <c r="Q193" i="49"/>
  <c r="U26" i="62"/>
  <c r="V26" i="62" s="1"/>
  <c r="W26" i="62" s="1"/>
  <c r="D38" i="49"/>
  <c r="A171" i="49"/>
  <c r="K38" i="49"/>
  <c r="E38" i="49"/>
  <c r="F38" i="49"/>
  <c r="G38" i="49"/>
  <c r="C38" i="49"/>
  <c r="B38" i="49"/>
  <c r="U10" i="48"/>
  <c r="V10" i="48"/>
  <c r="W10" i="48" s="1"/>
  <c r="Q16" i="49"/>
  <c r="T147" i="49"/>
  <c r="E26" i="3"/>
  <c r="I26" i="3" s="1"/>
  <c r="K26" i="3" s="1"/>
  <c r="V88" i="49"/>
  <c r="X88" i="49" s="1"/>
  <c r="R270" i="49"/>
  <c r="S270" i="49"/>
  <c r="H129" i="49"/>
  <c r="J129" i="49" s="1"/>
  <c r="W129" i="49" s="1"/>
  <c r="Y129" i="49" s="1"/>
  <c r="N129" i="49"/>
  <c r="M129" i="49"/>
  <c r="O129" i="49" s="1"/>
  <c r="P129" i="49" s="1"/>
  <c r="Q219" i="49"/>
  <c r="J219" i="49"/>
  <c r="C219" i="49"/>
  <c r="N92" i="49"/>
  <c r="S229" i="49"/>
  <c r="R229" i="49"/>
  <c r="H92" i="49"/>
  <c r="J92" i="49" s="1"/>
  <c r="M92" i="49"/>
  <c r="W14" i="49"/>
  <c r="Y14" i="49" s="1"/>
  <c r="D46" i="49"/>
  <c r="B46" i="49"/>
  <c r="A179" i="49"/>
  <c r="G46" i="49"/>
  <c r="K46" i="49"/>
  <c r="E46" i="49"/>
  <c r="F46" i="49"/>
  <c r="AB46" i="49" s="1"/>
  <c r="C46" i="49"/>
  <c r="E56" i="59"/>
  <c r="I56" i="59" s="1"/>
  <c r="K56" i="59" s="1"/>
  <c r="A264" i="49"/>
  <c r="E123" i="49"/>
  <c r="B123" i="49"/>
  <c r="C123" i="49"/>
  <c r="D123" i="49"/>
  <c r="F123" i="49"/>
  <c r="G123" i="49"/>
  <c r="K123" i="49"/>
  <c r="T225" i="49"/>
  <c r="Q88" i="49"/>
  <c r="E47" i="3"/>
  <c r="I47" i="3" s="1"/>
  <c r="K47" i="3" s="1"/>
  <c r="W21" i="49"/>
  <c r="Y21" i="49" s="1"/>
  <c r="Z13" i="48"/>
  <c r="AA13" i="48" s="1"/>
  <c r="E55" i="59"/>
  <c r="I55" i="59" s="1"/>
  <c r="K55" i="59" s="1"/>
  <c r="C192" i="49"/>
  <c r="J192" i="49"/>
  <c r="Q192" i="49"/>
  <c r="J147" i="49"/>
  <c r="Q147" i="49"/>
  <c r="C147" i="49"/>
  <c r="U45" i="21"/>
  <c r="V45" i="21" s="1"/>
  <c r="W45" i="21" s="1"/>
  <c r="U30" i="62"/>
  <c r="V30" i="62"/>
  <c r="W30" i="62" s="1"/>
  <c r="U24" i="21"/>
  <c r="V24" i="21"/>
  <c r="W24" i="21" s="1"/>
  <c r="K71" i="49"/>
  <c r="B71" i="49"/>
  <c r="D71" i="49"/>
  <c r="C71" i="49"/>
  <c r="G71" i="49"/>
  <c r="E71" i="49"/>
  <c r="A206" i="49"/>
  <c r="F71" i="49"/>
  <c r="AB71" i="49" s="1"/>
  <c r="E12" i="59"/>
  <c r="I12" i="59" s="1"/>
  <c r="K12" i="59" s="1"/>
  <c r="Z53" i="57"/>
  <c r="AA53" i="57" s="1"/>
  <c r="T152" i="49"/>
  <c r="Q21" i="49"/>
  <c r="T192" i="49"/>
  <c r="Q57" i="49"/>
  <c r="A213" i="49"/>
  <c r="C76" i="49"/>
  <c r="D76" i="49"/>
  <c r="G76" i="49"/>
  <c r="K76" i="49"/>
  <c r="B76" i="49"/>
  <c r="E76" i="49"/>
  <c r="F76" i="49"/>
  <c r="AB76" i="49" s="1"/>
  <c r="P11" i="56"/>
  <c r="Q11" i="56"/>
  <c r="R11" i="56" s="1"/>
  <c r="Z11" i="56" s="1"/>
  <c r="AA11" i="56" s="1"/>
  <c r="P9" i="48"/>
  <c r="Q9" i="48" s="1"/>
  <c r="R9" i="48" s="1"/>
  <c r="Z9" i="48" s="1"/>
  <c r="AA9" i="48" s="1"/>
  <c r="F80" i="49"/>
  <c r="B80" i="49"/>
  <c r="G80" i="49"/>
  <c r="K80" i="49"/>
  <c r="D80" i="49"/>
  <c r="E80" i="49"/>
  <c r="A217" i="49"/>
  <c r="C80" i="49"/>
  <c r="T223" i="49"/>
  <c r="Q86" i="49"/>
  <c r="E48" i="49"/>
  <c r="B48" i="49"/>
  <c r="A181" i="49"/>
  <c r="C48" i="49"/>
  <c r="G48" i="49"/>
  <c r="K48" i="49"/>
  <c r="F48" i="49"/>
  <c r="AB48" i="49" s="1"/>
  <c r="D48" i="49"/>
  <c r="Z31" i="48"/>
  <c r="AA31" i="48" s="1"/>
  <c r="Q79" i="49"/>
  <c r="T216" i="49"/>
  <c r="E30" i="59"/>
  <c r="I30" i="59" s="1"/>
  <c r="K30" i="59" s="1"/>
  <c r="Q58" i="49"/>
  <c r="R58" i="49" s="1"/>
  <c r="S58" i="49" s="1"/>
  <c r="T193" i="49"/>
  <c r="Z56" i="48"/>
  <c r="AA56" i="48" s="1"/>
  <c r="P26" i="62"/>
  <c r="Q26" i="62" s="1"/>
  <c r="R26" i="62" s="1"/>
  <c r="Z26" i="62" s="1"/>
  <c r="AA26" i="62" s="1"/>
  <c r="M57" i="49"/>
  <c r="O57" i="49" s="1"/>
  <c r="P57" i="49" s="1"/>
  <c r="S192" i="49"/>
  <c r="R192" i="49"/>
  <c r="N57" i="49"/>
  <c r="H57" i="49"/>
  <c r="J57" i="49" s="1"/>
  <c r="W57" i="49" s="1"/>
  <c r="Y57" i="49" s="1"/>
  <c r="F118" i="49"/>
  <c r="G118" i="49"/>
  <c r="D118" i="49"/>
  <c r="E118" i="49"/>
  <c r="K118" i="49"/>
  <c r="B118" i="49"/>
  <c r="C118" i="49"/>
  <c r="A259" i="49"/>
  <c r="AB14" i="49"/>
  <c r="C56" i="49"/>
  <c r="D56" i="49"/>
  <c r="E56" i="49"/>
  <c r="B56" i="49"/>
  <c r="F56" i="49"/>
  <c r="A191" i="49"/>
  <c r="G56" i="49"/>
  <c r="K56" i="49"/>
  <c r="R13" i="49"/>
  <c r="S13" i="49" s="1"/>
  <c r="E15" i="3" s="1"/>
  <c r="I15" i="3" s="1"/>
  <c r="K15" i="3" s="1"/>
  <c r="B117" i="49"/>
  <c r="D117" i="49"/>
  <c r="A258" i="49"/>
  <c r="E12" i="7"/>
  <c r="I12" i="7" s="1"/>
  <c r="K12" i="7" s="1"/>
  <c r="E26" i="7"/>
  <c r="I26" i="7" s="1"/>
  <c r="K26" i="7" s="1"/>
  <c r="E17" i="7"/>
  <c r="I17" i="7" s="1"/>
  <c r="K17" i="7" s="1"/>
  <c r="F117" i="49"/>
  <c r="AB117" i="49" s="1"/>
  <c r="E52" i="7"/>
  <c r="I52" i="7" s="1"/>
  <c r="K52" i="7" s="1"/>
  <c r="E53" i="7"/>
  <c r="I53" i="7" s="1"/>
  <c r="K53" i="7" s="1"/>
  <c r="E58" i="7"/>
  <c r="I58" i="7" s="1"/>
  <c r="K58" i="7" s="1"/>
  <c r="E31" i="7"/>
  <c r="I31" i="7" s="1"/>
  <c r="K31" i="7" s="1"/>
  <c r="E44" i="7"/>
  <c r="I44" i="7" s="1"/>
  <c r="K44" i="7" s="1"/>
  <c r="E10" i="7"/>
  <c r="I10" i="7" s="1"/>
  <c r="K10" i="7" s="1"/>
  <c r="E13" i="7"/>
  <c r="I13" i="7" s="1"/>
  <c r="K13" i="7" s="1"/>
  <c r="E48" i="7"/>
  <c r="I48" i="7" s="1"/>
  <c r="K48" i="7" s="1"/>
  <c r="E33" i="7"/>
  <c r="I33" i="7" s="1"/>
  <c r="K33" i="7" s="1"/>
  <c r="E22" i="7"/>
  <c r="I22" i="7" s="1"/>
  <c r="K22" i="7" s="1"/>
  <c r="E54" i="7"/>
  <c r="I54" i="7" s="1"/>
  <c r="K54" i="7" s="1"/>
  <c r="E35" i="7"/>
  <c r="I35" i="7" s="1"/>
  <c r="K35" i="7" s="1"/>
  <c r="E51" i="7"/>
  <c r="I51" i="7" s="1"/>
  <c r="K51" i="7" s="1"/>
  <c r="E32" i="7"/>
  <c r="I32" i="7" s="1"/>
  <c r="K32" i="7" s="1"/>
  <c r="E55" i="7"/>
  <c r="I55" i="7" s="1"/>
  <c r="K55" i="7" s="1"/>
  <c r="K117" i="49"/>
  <c r="E28" i="7"/>
  <c r="I28" i="7" s="1"/>
  <c r="K28" i="7" s="1"/>
  <c r="E43" i="7"/>
  <c r="I43" i="7" s="1"/>
  <c r="K43" i="7" s="1"/>
  <c r="E24" i="7"/>
  <c r="I24" i="7" s="1"/>
  <c r="K24" i="7" s="1"/>
  <c r="E20" i="7"/>
  <c r="I20" i="7" s="1"/>
  <c r="K20" i="7" s="1"/>
  <c r="E40" i="7"/>
  <c r="I40" i="7" s="1"/>
  <c r="K40" i="7" s="1"/>
  <c r="E16" i="7"/>
  <c r="I16" i="7" s="1"/>
  <c r="K16" i="7" s="1"/>
  <c r="E30" i="7"/>
  <c r="I30" i="7" s="1"/>
  <c r="K30" i="7" s="1"/>
  <c r="G117" i="49"/>
  <c r="E49" i="7"/>
  <c r="I49" i="7" s="1"/>
  <c r="K49" i="7" s="1"/>
  <c r="E56" i="7"/>
  <c r="I56" i="7" s="1"/>
  <c r="K56" i="7" s="1"/>
  <c r="E11" i="7"/>
  <c r="I11" i="7" s="1"/>
  <c r="K11" i="7" s="1"/>
  <c r="E36" i="7"/>
  <c r="I36" i="7" s="1"/>
  <c r="K36" i="7" s="1"/>
  <c r="C117" i="49"/>
  <c r="E47" i="7"/>
  <c r="I47" i="7" s="1"/>
  <c r="K47" i="7" s="1"/>
  <c r="E117" i="49"/>
  <c r="E25" i="7"/>
  <c r="I25" i="7" s="1"/>
  <c r="K25" i="7" s="1"/>
  <c r="E21" i="7"/>
  <c r="I21" i="7" s="1"/>
  <c r="K21" i="7" s="1"/>
  <c r="E38" i="7"/>
  <c r="I38" i="7" s="1"/>
  <c r="K38" i="7" s="1"/>
  <c r="E39" i="7"/>
  <c r="I39" i="7" s="1"/>
  <c r="K39" i="7" s="1"/>
  <c r="E19" i="7"/>
  <c r="I19" i="7" s="1"/>
  <c r="K19" i="7" s="1"/>
  <c r="E34" i="7"/>
  <c r="I34" i="7" s="1"/>
  <c r="K34" i="7" s="1"/>
  <c r="E14" i="7"/>
  <c r="I14" i="7" s="1"/>
  <c r="K14" i="7" s="1"/>
  <c r="E46" i="7"/>
  <c r="I46" i="7" s="1"/>
  <c r="K46" i="7" s="1"/>
  <c r="E37" i="7"/>
  <c r="I37" i="7" s="1"/>
  <c r="K37" i="7" s="1"/>
  <c r="E57" i="7"/>
  <c r="I57" i="7" s="1"/>
  <c r="K57" i="7" s="1"/>
  <c r="E23" i="7"/>
  <c r="I23" i="7" s="1"/>
  <c r="K23" i="7" s="1"/>
  <c r="E15" i="7"/>
  <c r="I15" i="7" s="1"/>
  <c r="K15" i="7" s="1"/>
  <c r="E9" i="7"/>
  <c r="I9" i="7" s="1"/>
  <c r="E50" i="7"/>
  <c r="I50" i="7" s="1"/>
  <c r="K50" i="7" s="1"/>
  <c r="E41" i="7"/>
  <c r="I41" i="7" s="1"/>
  <c r="K41" i="7" s="1"/>
  <c r="E18" i="7"/>
  <c r="I18" i="7" s="1"/>
  <c r="K18" i="7" s="1"/>
  <c r="E45" i="7"/>
  <c r="I45" i="7" s="1"/>
  <c r="K45" i="7" s="1"/>
  <c r="E27" i="7"/>
  <c r="I27" i="7" s="1"/>
  <c r="K27" i="7" s="1"/>
  <c r="E42" i="7"/>
  <c r="I42" i="7" s="1"/>
  <c r="K42" i="7" s="1"/>
  <c r="E29" i="7"/>
  <c r="I29" i="7" s="1"/>
  <c r="K29" i="7" s="1"/>
  <c r="U36" i="56"/>
  <c r="V36" i="56" s="1"/>
  <c r="W36" i="56" s="1"/>
  <c r="E58" i="59"/>
  <c r="I58" i="59" s="1"/>
  <c r="K58" i="59" s="1"/>
  <c r="E35" i="59"/>
  <c r="I35" i="59" s="1"/>
  <c r="K35" i="59" s="1"/>
  <c r="AB73" i="49"/>
  <c r="AB58" i="49"/>
  <c r="T231" i="49"/>
  <c r="Q94" i="49"/>
  <c r="C113" i="49"/>
  <c r="G113" i="49"/>
  <c r="E113" i="49"/>
  <c r="K113" i="49"/>
  <c r="B113" i="49"/>
  <c r="D113" i="49"/>
  <c r="F113" i="49"/>
  <c r="A252" i="49"/>
  <c r="Q25" i="62"/>
  <c r="R25" i="62" s="1"/>
  <c r="P25" i="62"/>
  <c r="E20" i="3"/>
  <c r="I20" i="3" s="1"/>
  <c r="K20" i="3" s="1"/>
  <c r="Q270" i="49"/>
  <c r="Q260" i="49"/>
  <c r="Q119" i="49"/>
  <c r="T260" i="49"/>
  <c r="Z36" i="57"/>
  <c r="AA36" i="57" s="1"/>
  <c r="E31" i="49"/>
  <c r="C31" i="49"/>
  <c r="D31" i="49"/>
  <c r="A162" i="49"/>
  <c r="B31" i="49"/>
  <c r="K31" i="49"/>
  <c r="F31" i="49"/>
  <c r="G31" i="49"/>
  <c r="M75" i="49"/>
  <c r="R212" i="49"/>
  <c r="S212" i="49"/>
  <c r="H75" i="49"/>
  <c r="J75" i="49" s="1"/>
  <c r="W75" i="49" s="1"/>
  <c r="Y75" i="49" s="1"/>
  <c r="N75" i="49"/>
  <c r="Z11" i="48"/>
  <c r="AA11" i="48" s="1"/>
  <c r="Z40" i="2"/>
  <c r="AA40" i="2" s="1"/>
  <c r="C107" i="49"/>
  <c r="A246" i="49"/>
  <c r="E107" i="49"/>
  <c r="D107" i="49"/>
  <c r="F107" i="49"/>
  <c r="K107" i="49"/>
  <c r="B107" i="49"/>
  <c r="G107" i="49"/>
  <c r="H21" i="49"/>
  <c r="J21" i="49" s="1"/>
  <c r="V21" i="49" s="1"/>
  <c r="X21" i="49" s="1"/>
  <c r="Z21" i="49" s="1"/>
  <c r="AA21" i="49" s="1"/>
  <c r="M21" i="49"/>
  <c r="R152" i="49"/>
  <c r="N21" i="49"/>
  <c r="S152" i="49"/>
  <c r="E12" i="3"/>
  <c r="I12" i="3" s="1"/>
  <c r="K12" i="3" s="1"/>
  <c r="R157" i="49"/>
  <c r="M26" i="49"/>
  <c r="O26" i="49" s="1"/>
  <c r="P26" i="49" s="1"/>
  <c r="H26" i="49"/>
  <c r="J26" i="49" s="1"/>
  <c r="W26" i="49" s="1"/>
  <c r="Y26" i="49" s="1"/>
  <c r="N26" i="49"/>
  <c r="S157" i="49"/>
  <c r="C61" i="49"/>
  <c r="D61" i="49"/>
  <c r="E61" i="49"/>
  <c r="G61" i="49"/>
  <c r="B61" i="49"/>
  <c r="F61" i="49"/>
  <c r="AB61" i="49" s="1"/>
  <c r="A196" i="49"/>
  <c r="K61" i="49"/>
  <c r="AB91" i="49"/>
  <c r="U25" i="62"/>
  <c r="V25" i="62"/>
  <c r="W25" i="62" s="1"/>
  <c r="Q154" i="49"/>
  <c r="C154" i="49"/>
  <c r="J154" i="49"/>
  <c r="Z54" i="57"/>
  <c r="AA54" i="57" s="1"/>
  <c r="AB79" i="49"/>
  <c r="P15" i="62"/>
  <c r="Q15" i="62" s="1"/>
  <c r="R15" i="62" s="1"/>
  <c r="Z15" i="62" s="1"/>
  <c r="AA15" i="62" s="1"/>
  <c r="Z50" i="2"/>
  <c r="AA50" i="2" s="1"/>
  <c r="R154" i="49"/>
  <c r="H23" i="49"/>
  <c r="J23" i="49" s="1"/>
  <c r="W23" i="49" s="1"/>
  <c r="Y23" i="49" s="1"/>
  <c r="M23" i="49"/>
  <c r="N23" i="49"/>
  <c r="S154" i="49"/>
  <c r="E58" i="3"/>
  <c r="I58" i="3" s="1"/>
  <c r="K58" i="3" s="1"/>
  <c r="Z17" i="21"/>
  <c r="AA17" i="21" s="1"/>
  <c r="E38" i="59"/>
  <c r="I38" i="59" s="1"/>
  <c r="K38" i="59" s="1"/>
  <c r="E39" i="59"/>
  <c r="I39" i="59" s="1"/>
  <c r="K39" i="59" s="1"/>
  <c r="T208" i="49"/>
  <c r="Q73" i="49"/>
  <c r="V58" i="49"/>
  <c r="X58" i="49" s="1"/>
  <c r="P52" i="21"/>
  <c r="Q52" i="21" s="1"/>
  <c r="R52" i="21" s="1"/>
  <c r="Z52" i="21" s="1"/>
  <c r="AA52" i="21" s="1"/>
  <c r="M94" i="49"/>
  <c r="R231" i="49"/>
  <c r="N94" i="49"/>
  <c r="S231" i="49"/>
  <c r="H94" i="49"/>
  <c r="J94" i="49" s="1"/>
  <c r="V94" i="49" s="1"/>
  <c r="X94" i="49" s="1"/>
  <c r="Z11" i="57"/>
  <c r="AA11" i="57" s="1"/>
  <c r="W59" i="49"/>
  <c r="Y59" i="49" s="1"/>
  <c r="T250" i="49"/>
  <c r="Q111" i="49"/>
  <c r="E54" i="3"/>
  <c r="I54" i="3" s="1"/>
  <c r="K54" i="3" s="1"/>
  <c r="E34" i="3"/>
  <c r="I34" i="3" s="1"/>
  <c r="K34" i="3" s="1"/>
  <c r="T270" i="49"/>
  <c r="Q129" i="49"/>
  <c r="P27" i="21"/>
  <c r="Q27" i="21"/>
  <c r="R27" i="21" s="1"/>
  <c r="K127" i="49"/>
  <c r="A268" i="49"/>
  <c r="F127" i="49"/>
  <c r="B127" i="49"/>
  <c r="D127" i="49"/>
  <c r="C127" i="49"/>
  <c r="G127" i="49"/>
  <c r="E127" i="49"/>
  <c r="U14" i="48"/>
  <c r="V14" i="48" s="1"/>
  <c r="W14" i="48" s="1"/>
  <c r="D124" i="49"/>
  <c r="E124" i="49"/>
  <c r="F124" i="49"/>
  <c r="A265" i="49"/>
  <c r="G124" i="49"/>
  <c r="B124" i="49"/>
  <c r="C124" i="49"/>
  <c r="K124" i="49"/>
  <c r="H79" i="49"/>
  <c r="J79" i="49" s="1"/>
  <c r="V79" i="49" s="1"/>
  <c r="X79" i="49" s="1"/>
  <c r="S216" i="49"/>
  <c r="M79" i="49"/>
  <c r="R216" i="49"/>
  <c r="N79" i="49"/>
  <c r="E51" i="59"/>
  <c r="I51" i="59" s="1"/>
  <c r="K51" i="59" s="1"/>
  <c r="E27" i="59"/>
  <c r="I27" i="59" s="1"/>
  <c r="K27" i="59" s="1"/>
  <c r="Q208" i="49"/>
  <c r="Z30" i="56"/>
  <c r="AA30" i="56" s="1"/>
  <c r="Q231" i="49"/>
  <c r="C231" i="49"/>
  <c r="J231" i="49"/>
  <c r="Z29" i="57"/>
  <c r="AA29" i="57" s="1"/>
  <c r="B102" i="49"/>
  <c r="A241" i="49"/>
  <c r="G102" i="49"/>
  <c r="C102" i="49"/>
  <c r="E102" i="49"/>
  <c r="D102" i="49"/>
  <c r="F102" i="49"/>
  <c r="AB102" i="49" s="1"/>
  <c r="K102" i="49"/>
  <c r="Z54" i="62"/>
  <c r="AA54" i="62" s="1"/>
  <c r="Q194" i="49"/>
  <c r="U48" i="2"/>
  <c r="V48" i="2"/>
  <c r="W48" i="2" s="1"/>
  <c r="N93" i="49"/>
  <c r="H93" i="49"/>
  <c r="J93" i="49" s="1"/>
  <c r="W93" i="49" s="1"/>
  <c r="Y93" i="49" s="1"/>
  <c r="M93" i="49"/>
  <c r="O93" i="49" s="1"/>
  <c r="P93" i="49" s="1"/>
  <c r="R230" i="49"/>
  <c r="S230" i="49"/>
  <c r="Z25" i="48"/>
  <c r="AA25" i="48" s="1"/>
  <c r="E33" i="3"/>
  <c r="I33" i="3" s="1"/>
  <c r="K33" i="3" s="1"/>
  <c r="E16" i="3"/>
  <c r="I16" i="3" s="1"/>
  <c r="K16" i="3" s="1"/>
  <c r="U27" i="21"/>
  <c r="V27" i="21" s="1"/>
  <c r="W27" i="21" s="1"/>
  <c r="K121" i="49"/>
  <c r="D121" i="49"/>
  <c r="A262" i="49"/>
  <c r="B121" i="49"/>
  <c r="C121" i="49"/>
  <c r="G121" i="49"/>
  <c r="F121" i="49"/>
  <c r="AB121" i="49" s="1"/>
  <c r="E121" i="49"/>
  <c r="F33" i="49"/>
  <c r="G33" i="49"/>
  <c r="K33" i="49"/>
  <c r="E49" i="19"/>
  <c r="I49" i="19" s="1"/>
  <c r="K49" i="19" s="1"/>
  <c r="E29" i="19"/>
  <c r="I29" i="19" s="1"/>
  <c r="K29" i="19" s="1"/>
  <c r="E14" i="19"/>
  <c r="I14" i="19" s="1"/>
  <c r="K14" i="19" s="1"/>
  <c r="C33" i="49"/>
  <c r="E9" i="19"/>
  <c r="I9" i="19" s="1"/>
  <c r="E44" i="19"/>
  <c r="I44" i="19" s="1"/>
  <c r="K44" i="19" s="1"/>
  <c r="E24" i="19"/>
  <c r="I24" i="19" s="1"/>
  <c r="K24" i="19" s="1"/>
  <c r="E47" i="19"/>
  <c r="I47" i="19" s="1"/>
  <c r="K47" i="19" s="1"/>
  <c r="D33" i="49"/>
  <c r="E34" i="19"/>
  <c r="I34" i="19" s="1"/>
  <c r="K34" i="19" s="1"/>
  <c r="E33" i="49"/>
  <c r="E48" i="19"/>
  <c r="I48" i="19" s="1"/>
  <c r="K48" i="19" s="1"/>
  <c r="A166" i="49"/>
  <c r="E43" i="19"/>
  <c r="I43" i="19" s="1"/>
  <c r="K43" i="19" s="1"/>
  <c r="E35" i="19"/>
  <c r="I35" i="19" s="1"/>
  <c r="K35" i="19" s="1"/>
  <c r="E42" i="19"/>
  <c r="I42" i="19" s="1"/>
  <c r="K42" i="19" s="1"/>
  <c r="E28" i="19"/>
  <c r="I28" i="19" s="1"/>
  <c r="K28" i="19" s="1"/>
  <c r="E54" i="19"/>
  <c r="I54" i="19" s="1"/>
  <c r="K54" i="19" s="1"/>
  <c r="E26" i="19"/>
  <c r="I26" i="19" s="1"/>
  <c r="K26" i="19" s="1"/>
  <c r="E38" i="19"/>
  <c r="I38" i="19" s="1"/>
  <c r="K38" i="19" s="1"/>
  <c r="B33" i="49"/>
  <c r="E53" i="19"/>
  <c r="I53" i="19" s="1"/>
  <c r="K53" i="19" s="1"/>
  <c r="E22" i="19"/>
  <c r="I22" i="19" s="1"/>
  <c r="K22" i="19" s="1"/>
  <c r="E12" i="19"/>
  <c r="I12" i="19" s="1"/>
  <c r="K12" i="19" s="1"/>
  <c r="E30" i="19"/>
  <c r="I30" i="19" s="1"/>
  <c r="K30" i="19" s="1"/>
  <c r="E46" i="19"/>
  <c r="I46" i="19" s="1"/>
  <c r="K46" i="19" s="1"/>
  <c r="E10" i="19"/>
  <c r="I10" i="19" s="1"/>
  <c r="K10" i="19" s="1"/>
  <c r="E15" i="19"/>
  <c r="I15" i="19" s="1"/>
  <c r="K15" i="19" s="1"/>
  <c r="E58" i="19"/>
  <c r="I58" i="19" s="1"/>
  <c r="K58" i="19" s="1"/>
  <c r="E39" i="19"/>
  <c r="I39" i="19" s="1"/>
  <c r="K39" i="19" s="1"/>
  <c r="E19" i="19"/>
  <c r="I19" i="19" s="1"/>
  <c r="K19" i="19" s="1"/>
  <c r="E13" i="19"/>
  <c r="I13" i="19" s="1"/>
  <c r="K13" i="19" s="1"/>
  <c r="E32" i="19"/>
  <c r="I32" i="19" s="1"/>
  <c r="K32" i="19" s="1"/>
  <c r="E40" i="19"/>
  <c r="I40" i="19" s="1"/>
  <c r="K40" i="19" s="1"/>
  <c r="E55" i="19"/>
  <c r="I55" i="19" s="1"/>
  <c r="K55" i="19" s="1"/>
  <c r="E21" i="19"/>
  <c r="I21" i="19" s="1"/>
  <c r="K21" i="19" s="1"/>
  <c r="E57" i="19"/>
  <c r="I57" i="19" s="1"/>
  <c r="K57" i="19" s="1"/>
  <c r="E36" i="19"/>
  <c r="I36" i="19" s="1"/>
  <c r="K36" i="19" s="1"/>
  <c r="E50" i="19"/>
  <c r="I50" i="19" s="1"/>
  <c r="K50" i="19" s="1"/>
  <c r="E18" i="19"/>
  <c r="I18" i="19" s="1"/>
  <c r="K18" i="19" s="1"/>
  <c r="E33" i="19"/>
  <c r="I33" i="19" s="1"/>
  <c r="K33" i="19" s="1"/>
  <c r="E37" i="19"/>
  <c r="I37" i="19" s="1"/>
  <c r="K37" i="19" s="1"/>
  <c r="E17" i="19"/>
  <c r="I17" i="19" s="1"/>
  <c r="K17" i="19" s="1"/>
  <c r="E23" i="19"/>
  <c r="I23" i="19" s="1"/>
  <c r="K23" i="19" s="1"/>
  <c r="E51" i="19"/>
  <c r="I51" i="19" s="1"/>
  <c r="K51" i="19" s="1"/>
  <c r="E16" i="19"/>
  <c r="I16" i="19" s="1"/>
  <c r="K16" i="19" s="1"/>
  <c r="E52" i="19"/>
  <c r="I52" i="19" s="1"/>
  <c r="K52" i="19" s="1"/>
  <c r="E11" i="19"/>
  <c r="I11" i="19" s="1"/>
  <c r="K11" i="19" s="1"/>
  <c r="E20" i="19"/>
  <c r="I20" i="19" s="1"/>
  <c r="K20" i="19" s="1"/>
  <c r="E45" i="19"/>
  <c r="I45" i="19" s="1"/>
  <c r="K45" i="19" s="1"/>
  <c r="E25" i="19"/>
  <c r="I25" i="19" s="1"/>
  <c r="K25" i="19" s="1"/>
  <c r="E41" i="19"/>
  <c r="I41" i="19" s="1"/>
  <c r="K41" i="19" s="1"/>
  <c r="E56" i="19"/>
  <c r="I56" i="19" s="1"/>
  <c r="K56" i="19" s="1"/>
  <c r="E31" i="19"/>
  <c r="I31" i="19" s="1"/>
  <c r="K31" i="19" s="1"/>
  <c r="E27" i="19"/>
  <c r="I27" i="19" s="1"/>
  <c r="K27" i="19" s="1"/>
  <c r="C212" i="49"/>
  <c r="J212" i="49"/>
  <c r="Q212" i="49"/>
  <c r="E11" i="59"/>
  <c r="I11" i="59" s="1"/>
  <c r="K11" i="59" s="1"/>
  <c r="W73" i="49"/>
  <c r="Y73" i="49" s="1"/>
  <c r="T194" i="49"/>
  <c r="Q59" i="49"/>
  <c r="R250" i="49"/>
  <c r="H111" i="49"/>
  <c r="J111" i="49" s="1"/>
  <c r="V111" i="49" s="1"/>
  <c r="X111" i="49" s="1"/>
  <c r="Z111" i="49" s="1"/>
  <c r="AA111" i="49" s="1"/>
  <c r="S250" i="49"/>
  <c r="M111" i="49"/>
  <c r="N111" i="49"/>
  <c r="P48" i="2"/>
  <c r="Q48" i="2"/>
  <c r="R48" i="2" s="1"/>
  <c r="Z48" i="2" s="1"/>
  <c r="AA48" i="2" s="1"/>
  <c r="J230" i="49"/>
  <c r="C230" i="49"/>
  <c r="Q230" i="49"/>
  <c r="E11" i="3"/>
  <c r="I11" i="3" s="1"/>
  <c r="K11" i="3" s="1"/>
  <c r="E55" i="3"/>
  <c r="I55" i="3" s="1"/>
  <c r="K55" i="3" s="1"/>
  <c r="N119" i="49"/>
  <c r="M119" i="49"/>
  <c r="O119" i="49" s="1"/>
  <c r="P119" i="49" s="1"/>
  <c r="R260" i="49"/>
  <c r="S260" i="49"/>
  <c r="H119" i="49"/>
  <c r="J119" i="49" s="1"/>
  <c r="V119" i="49" s="1"/>
  <c r="X119" i="49" s="1"/>
  <c r="Z119" i="49" s="1"/>
  <c r="AA119" i="49" s="1"/>
  <c r="W119" i="49"/>
  <c r="Y119" i="49" s="1"/>
  <c r="Z14" i="48" l="1"/>
  <c r="AA14" i="48" s="1"/>
  <c r="Z39" i="48"/>
  <c r="AA39" i="48" s="1"/>
  <c r="Z20" i="49"/>
  <c r="AA20" i="49" s="1"/>
  <c r="Z45" i="21"/>
  <c r="AA45" i="21" s="1"/>
  <c r="Z26" i="48"/>
  <c r="AA26" i="48" s="1"/>
  <c r="V17" i="49"/>
  <c r="X17" i="49" s="1"/>
  <c r="M65" i="49"/>
  <c r="N65" i="49"/>
  <c r="R200" i="49"/>
  <c r="S200" i="49"/>
  <c r="H65" i="49"/>
  <c r="J65" i="49" s="1"/>
  <c r="V65" i="49" s="1"/>
  <c r="X65" i="49" s="1"/>
  <c r="Z65" i="49" s="1"/>
  <c r="AA65" i="49" s="1"/>
  <c r="T272" i="49"/>
  <c r="Q131" i="49"/>
  <c r="W79" i="49"/>
  <c r="Y79" i="49" s="1"/>
  <c r="Z79" i="49" s="1"/>
  <c r="AA79" i="49" s="1"/>
  <c r="J265" i="49"/>
  <c r="Q265" i="49"/>
  <c r="C265" i="49"/>
  <c r="H48" i="49"/>
  <c r="J48" i="49" s="1"/>
  <c r="W48" i="49" s="1"/>
  <c r="Y48" i="49" s="1"/>
  <c r="S181" i="49"/>
  <c r="N48" i="49"/>
  <c r="R181" i="49"/>
  <c r="M48" i="49"/>
  <c r="O48" i="49" s="1"/>
  <c r="P48" i="49" s="1"/>
  <c r="Z88" i="49"/>
  <c r="AA88" i="49" s="1"/>
  <c r="V136" i="49"/>
  <c r="X136" i="49" s="1"/>
  <c r="Z136" i="49" s="1"/>
  <c r="AA136" i="49" s="1"/>
  <c r="Q198" i="49"/>
  <c r="J198" i="49"/>
  <c r="C198" i="49"/>
  <c r="AB65" i="49"/>
  <c r="Z49" i="57"/>
  <c r="AA49" i="57" s="1"/>
  <c r="N33" i="49"/>
  <c r="M33" i="49"/>
  <c r="O33" i="49" s="1"/>
  <c r="P33" i="49" s="1"/>
  <c r="R166" i="49"/>
  <c r="S166" i="49"/>
  <c r="H33" i="49"/>
  <c r="J33" i="49" s="1"/>
  <c r="V33" i="49" s="1"/>
  <c r="X33" i="49" s="1"/>
  <c r="Z33" i="49" s="1"/>
  <c r="AA33" i="49" s="1"/>
  <c r="AB124" i="49"/>
  <c r="Q162" i="49"/>
  <c r="C162" i="49"/>
  <c r="J162" i="49"/>
  <c r="Q191" i="49"/>
  <c r="C191" i="49"/>
  <c r="J191" i="49"/>
  <c r="R21" i="49"/>
  <c r="S21" i="49" s="1"/>
  <c r="T235" i="49"/>
  <c r="Q96" i="49"/>
  <c r="AB43" i="49"/>
  <c r="J184" i="49"/>
  <c r="Q184" i="49"/>
  <c r="C184" i="49"/>
  <c r="J194" i="49"/>
  <c r="V61" i="49"/>
  <c r="X61" i="49" s="1"/>
  <c r="Z61" i="49" s="1"/>
  <c r="AA61" i="49" s="1"/>
  <c r="T181" i="49"/>
  <c r="Q48" i="49"/>
  <c r="R48" i="49" s="1"/>
  <c r="S48" i="49" s="1"/>
  <c r="Q136" i="49"/>
  <c r="R136" i="49" s="1"/>
  <c r="S136" i="49" s="1"/>
  <c r="T277" i="49"/>
  <c r="W89" i="49"/>
  <c r="Y89" i="49" s="1"/>
  <c r="Z89" i="49" s="1"/>
  <c r="AA89" i="49" s="1"/>
  <c r="C195" i="49"/>
  <c r="T242" i="49"/>
  <c r="Q103" i="49"/>
  <c r="R265" i="49"/>
  <c r="S265" i="49"/>
  <c r="H124" i="49"/>
  <c r="J124" i="49" s="1"/>
  <c r="V124" i="49" s="1"/>
  <c r="X124" i="49" s="1"/>
  <c r="Z124" i="49" s="1"/>
  <c r="AA124" i="49" s="1"/>
  <c r="N124" i="49"/>
  <c r="M124" i="49"/>
  <c r="O124" i="49" s="1"/>
  <c r="P124" i="49" s="1"/>
  <c r="AB123" i="49"/>
  <c r="J269" i="49"/>
  <c r="Q269" i="49"/>
  <c r="C269" i="49"/>
  <c r="O68" i="49"/>
  <c r="P68" i="49" s="1"/>
  <c r="Q180" i="49"/>
  <c r="C180" i="49"/>
  <c r="J180" i="49"/>
  <c r="R176" i="49"/>
  <c r="H43" i="49"/>
  <c r="J43" i="49" s="1"/>
  <c r="V43" i="49" s="1"/>
  <c r="X43" i="49" s="1"/>
  <c r="Z43" i="49" s="1"/>
  <c r="AA43" i="49" s="1"/>
  <c r="S176" i="49"/>
  <c r="M43" i="49"/>
  <c r="N43" i="49"/>
  <c r="M103" i="49"/>
  <c r="H103" i="49"/>
  <c r="J103" i="49" s="1"/>
  <c r="V103" i="49" s="1"/>
  <c r="X103" i="49" s="1"/>
  <c r="R242" i="49"/>
  <c r="N103" i="49"/>
  <c r="S242" i="49"/>
  <c r="R148" i="49"/>
  <c r="M17" i="49"/>
  <c r="N17" i="49"/>
  <c r="S148" i="49"/>
  <c r="H17" i="49"/>
  <c r="J17" i="49" s="1"/>
  <c r="K9" i="59"/>
  <c r="I59" i="59"/>
  <c r="T200" i="49"/>
  <c r="Q65" i="49"/>
  <c r="Q41" i="49"/>
  <c r="T174" i="49"/>
  <c r="Q189" i="49"/>
  <c r="J189" i="49"/>
  <c r="C189" i="49"/>
  <c r="AB15" i="49"/>
  <c r="V91" i="49"/>
  <c r="X91" i="49" s="1"/>
  <c r="Z91" i="49" s="1"/>
  <c r="AA91" i="49" s="1"/>
  <c r="I59" i="3"/>
  <c r="K9" i="3"/>
  <c r="M90" i="49"/>
  <c r="S227" i="49"/>
  <c r="H90" i="49"/>
  <c r="J90" i="49" s="1"/>
  <c r="R227" i="49"/>
  <c r="N90" i="49"/>
  <c r="Q84" i="49"/>
  <c r="T221" i="49"/>
  <c r="V34" i="49"/>
  <c r="X34" i="49" s="1"/>
  <c r="Z34" i="49" s="1"/>
  <c r="AA34" i="49" s="1"/>
  <c r="Q227" i="49"/>
  <c r="C227" i="49"/>
  <c r="J227" i="49"/>
  <c r="V18" i="49"/>
  <c r="X18" i="49" s="1"/>
  <c r="Z18" i="49" s="1"/>
  <c r="AA18" i="49" s="1"/>
  <c r="Q37" i="49"/>
  <c r="T170" i="49"/>
  <c r="N87" i="49"/>
  <c r="M87" i="49"/>
  <c r="O87" i="49" s="1"/>
  <c r="P87" i="49" s="1"/>
  <c r="S224" i="49"/>
  <c r="R224" i="49"/>
  <c r="H87" i="49"/>
  <c r="J87" i="49" s="1"/>
  <c r="H36" i="49"/>
  <c r="J36" i="49" s="1"/>
  <c r="S169" i="49"/>
  <c r="R169" i="49"/>
  <c r="M36" i="49"/>
  <c r="N36" i="49"/>
  <c r="Q185" i="49"/>
  <c r="J185" i="49"/>
  <c r="C185" i="49"/>
  <c r="W20" i="49"/>
  <c r="Y20" i="49" s="1"/>
  <c r="J196" i="49"/>
  <c r="C196" i="49"/>
  <c r="Q196" i="49"/>
  <c r="S213" i="49"/>
  <c r="N76" i="49"/>
  <c r="M76" i="49"/>
  <c r="O76" i="49" s="1"/>
  <c r="P76" i="49" s="1"/>
  <c r="H76" i="49"/>
  <c r="J76" i="49" s="1"/>
  <c r="V76" i="49" s="1"/>
  <c r="X76" i="49" s="1"/>
  <c r="Z76" i="49" s="1"/>
  <c r="AA76" i="49" s="1"/>
  <c r="R213" i="49"/>
  <c r="W117" i="49"/>
  <c r="Y117" i="49" s="1"/>
  <c r="Q87" i="49"/>
  <c r="T224" i="49"/>
  <c r="W124" i="49"/>
  <c r="Y124" i="49" s="1"/>
  <c r="V52" i="49"/>
  <c r="X52" i="49" s="1"/>
  <c r="Z56" i="57"/>
  <c r="AA56" i="57" s="1"/>
  <c r="O66" i="49"/>
  <c r="P66" i="49" s="1"/>
  <c r="R66" i="49" s="1"/>
  <c r="S66" i="49" s="1"/>
  <c r="O89" i="49"/>
  <c r="P89" i="49" s="1"/>
  <c r="R89" i="49" s="1"/>
  <c r="S89" i="49" s="1"/>
  <c r="T162" i="49"/>
  <c r="Q31" i="49"/>
  <c r="Q56" i="49"/>
  <c r="T191" i="49"/>
  <c r="V26" i="49"/>
  <c r="X26" i="49" s="1"/>
  <c r="Z26" i="49" s="1"/>
  <c r="AA26" i="49" s="1"/>
  <c r="R57" i="49"/>
  <c r="S57" i="49" s="1"/>
  <c r="R88" i="49"/>
  <c r="S88" i="49" s="1"/>
  <c r="Z10" i="48"/>
  <c r="AA10" i="48" s="1"/>
  <c r="T185" i="49"/>
  <c r="Q52" i="49"/>
  <c r="M136" i="49"/>
  <c r="O136" i="49" s="1"/>
  <c r="P136" i="49" s="1"/>
  <c r="R277" i="49"/>
  <c r="H136" i="49"/>
  <c r="J136" i="49" s="1"/>
  <c r="N136" i="49"/>
  <c r="S277" i="49"/>
  <c r="Z32" i="57"/>
  <c r="AA32" i="57" s="1"/>
  <c r="T198" i="49"/>
  <c r="Q63" i="49"/>
  <c r="Q247" i="49"/>
  <c r="C247" i="49"/>
  <c r="J247" i="49"/>
  <c r="W27" i="49"/>
  <c r="Y27" i="49" s="1"/>
  <c r="Z27" i="49" s="1"/>
  <c r="AA27" i="49" s="1"/>
  <c r="W62" i="49"/>
  <c r="Y62" i="49" s="1"/>
  <c r="Z62" i="49" s="1"/>
  <c r="AA62" i="49" s="1"/>
  <c r="V96" i="49"/>
  <c r="X96" i="49" s="1"/>
  <c r="Z96" i="49" s="1"/>
  <c r="AA96" i="49" s="1"/>
  <c r="Q43" i="49"/>
  <c r="T176" i="49"/>
  <c r="AB103" i="49"/>
  <c r="Q51" i="49"/>
  <c r="R51" i="49" s="1"/>
  <c r="S51" i="49" s="1"/>
  <c r="T184" i="49"/>
  <c r="Z55" i="62"/>
  <c r="AA55" i="62" s="1"/>
  <c r="Z58" i="49"/>
  <c r="AA58" i="49" s="1"/>
  <c r="W31" i="49"/>
  <c r="Y31" i="49" s="1"/>
  <c r="H128" i="49"/>
  <c r="J128" i="49" s="1"/>
  <c r="W128" i="49" s="1"/>
  <c r="Y128" i="49" s="1"/>
  <c r="N128" i="49"/>
  <c r="R269" i="49"/>
  <c r="M128" i="49"/>
  <c r="O128" i="49" s="1"/>
  <c r="P128" i="49" s="1"/>
  <c r="S269" i="49"/>
  <c r="AB108" i="49"/>
  <c r="C235" i="49"/>
  <c r="J235" i="49"/>
  <c r="Q235" i="49"/>
  <c r="O27" i="49"/>
  <c r="P27" i="49" s="1"/>
  <c r="R27" i="49" s="1"/>
  <c r="S27" i="49" s="1"/>
  <c r="W51" i="49"/>
  <c r="Y51" i="49" s="1"/>
  <c r="C194" i="49"/>
  <c r="S196" i="49"/>
  <c r="M61" i="49"/>
  <c r="N61" i="49"/>
  <c r="H61" i="49"/>
  <c r="J61" i="49" s="1"/>
  <c r="R196" i="49"/>
  <c r="Q123" i="49"/>
  <c r="T264" i="49"/>
  <c r="J277" i="49"/>
  <c r="Q277" i="49"/>
  <c r="C277" i="49"/>
  <c r="W24" i="49"/>
  <c r="Y24" i="49" s="1"/>
  <c r="Z24" i="49" s="1"/>
  <c r="AA24" i="49" s="1"/>
  <c r="J190" i="49"/>
  <c r="Q190" i="49"/>
  <c r="C190" i="49"/>
  <c r="W65" i="49"/>
  <c r="Y65" i="49" s="1"/>
  <c r="J272" i="49"/>
  <c r="C272" i="49"/>
  <c r="Q272" i="49"/>
  <c r="Q146" i="49"/>
  <c r="J146" i="49"/>
  <c r="C146" i="49"/>
  <c r="M31" i="49"/>
  <c r="H31" i="49"/>
  <c r="J31" i="49" s="1"/>
  <c r="N31" i="49"/>
  <c r="S162" i="49"/>
  <c r="R162" i="49"/>
  <c r="AB56" i="49"/>
  <c r="AB63" i="49"/>
  <c r="T190" i="49"/>
  <c r="Q55" i="49"/>
  <c r="R93" i="49"/>
  <c r="S93" i="49" s="1"/>
  <c r="V78" i="49"/>
  <c r="X78" i="49" s="1"/>
  <c r="Z78" i="49" s="1"/>
  <c r="AA78" i="49" s="1"/>
  <c r="V31" i="49"/>
  <c r="X31" i="49" s="1"/>
  <c r="V86" i="49"/>
  <c r="X86" i="49" s="1"/>
  <c r="Z86" i="49" s="1"/>
  <c r="AA86" i="49" s="1"/>
  <c r="S264" i="49"/>
  <c r="R264" i="49"/>
  <c r="M123" i="49"/>
  <c r="N123" i="49"/>
  <c r="H123" i="49"/>
  <c r="J123" i="49" s="1"/>
  <c r="V123" i="49" s="1"/>
  <c r="X123" i="49" s="1"/>
  <c r="R16" i="49"/>
  <c r="S16" i="49" s="1"/>
  <c r="O60" i="49"/>
  <c r="P60" i="49" s="1"/>
  <c r="R60" i="49" s="1"/>
  <c r="S60" i="49" s="1"/>
  <c r="V28" i="49"/>
  <c r="X28" i="49" s="1"/>
  <c r="Z28" i="49" s="1"/>
  <c r="AA28" i="49" s="1"/>
  <c r="R247" i="49"/>
  <c r="H108" i="49"/>
  <c r="J108" i="49" s="1"/>
  <c r="W108" i="49" s="1"/>
  <c r="Y108" i="49" s="1"/>
  <c r="S247" i="49"/>
  <c r="M108" i="49"/>
  <c r="N108" i="49"/>
  <c r="W96" i="49"/>
  <c r="Y96" i="49" s="1"/>
  <c r="AB47" i="49"/>
  <c r="Q242" i="49"/>
  <c r="C242" i="49"/>
  <c r="J242" i="49"/>
  <c r="Q148" i="49"/>
  <c r="J148" i="49"/>
  <c r="C148" i="49"/>
  <c r="V75" i="49"/>
  <c r="X75" i="49" s="1"/>
  <c r="Z75" i="49" s="1"/>
  <c r="AA75" i="49" s="1"/>
  <c r="AB41" i="49"/>
  <c r="O22" i="49"/>
  <c r="P22" i="49" s="1"/>
  <c r="W47" i="49"/>
  <c r="Y47" i="49" s="1"/>
  <c r="J254" i="49"/>
  <c r="C206" i="49"/>
  <c r="Q206" i="49"/>
  <c r="J206" i="49"/>
  <c r="M135" i="49"/>
  <c r="S276" i="49"/>
  <c r="N135" i="49"/>
  <c r="H135" i="49"/>
  <c r="J135" i="49" s="1"/>
  <c r="W135" i="49" s="1"/>
  <c r="Y135" i="49" s="1"/>
  <c r="R276" i="49"/>
  <c r="V127" i="49"/>
  <c r="X127" i="49" s="1"/>
  <c r="Q264" i="49"/>
  <c r="J264" i="49"/>
  <c r="C264" i="49"/>
  <c r="O82" i="49"/>
  <c r="P82" i="49" s="1"/>
  <c r="R82" i="49" s="1"/>
  <c r="S82" i="49" s="1"/>
  <c r="Q44" i="49"/>
  <c r="R44" i="49" s="1"/>
  <c r="S44" i="49" s="1"/>
  <c r="T177" i="49"/>
  <c r="T171" i="49"/>
  <c r="Q38" i="49"/>
  <c r="Q177" i="49"/>
  <c r="J177" i="49"/>
  <c r="C177" i="49"/>
  <c r="T217" i="49"/>
  <c r="Q80" i="49"/>
  <c r="Q100" i="49"/>
  <c r="T239" i="49"/>
  <c r="Q105" i="49"/>
  <c r="R105" i="49" s="1"/>
  <c r="S105" i="49" s="1"/>
  <c r="T244" i="49"/>
  <c r="Q39" i="49"/>
  <c r="T172" i="49"/>
  <c r="V42" i="49"/>
  <c r="X42" i="49" s="1"/>
  <c r="Z28" i="48"/>
  <c r="AA28" i="48" s="1"/>
  <c r="V19" i="49"/>
  <c r="X19" i="49" s="1"/>
  <c r="Z19" i="49" s="1"/>
  <c r="AA19" i="49" s="1"/>
  <c r="W25" i="49"/>
  <c r="Y25" i="49" s="1"/>
  <c r="Q202" i="49"/>
  <c r="C202" i="49"/>
  <c r="J202" i="49"/>
  <c r="H30" i="49"/>
  <c r="J30" i="49" s="1"/>
  <c r="V30" i="49" s="1"/>
  <c r="X30" i="49" s="1"/>
  <c r="N30" i="49"/>
  <c r="R161" i="49"/>
  <c r="M30" i="49"/>
  <c r="O30" i="49" s="1"/>
  <c r="P30" i="49" s="1"/>
  <c r="S161" i="49"/>
  <c r="Q237" i="49"/>
  <c r="J237" i="49"/>
  <c r="C237" i="49"/>
  <c r="AB99" i="49"/>
  <c r="AB35" i="49"/>
  <c r="T274" i="49"/>
  <c r="Q133" i="49"/>
  <c r="Q101" i="49"/>
  <c r="T240" i="49"/>
  <c r="H126" i="49"/>
  <c r="J126" i="49" s="1"/>
  <c r="V126" i="49" s="1"/>
  <c r="X126" i="49" s="1"/>
  <c r="Z126" i="49" s="1"/>
  <c r="AA126" i="49" s="1"/>
  <c r="R267" i="49"/>
  <c r="S267" i="49"/>
  <c r="M126" i="49"/>
  <c r="N126" i="49"/>
  <c r="AB97" i="49"/>
  <c r="N110" i="49"/>
  <c r="S249" i="49"/>
  <c r="H110" i="49"/>
  <c r="J110" i="49" s="1"/>
  <c r="W110" i="49" s="1"/>
  <c r="Y110" i="49" s="1"/>
  <c r="M110" i="49"/>
  <c r="O110" i="49" s="1"/>
  <c r="P110" i="49" s="1"/>
  <c r="R249" i="49"/>
  <c r="W113" i="49"/>
  <c r="Y113" i="49" s="1"/>
  <c r="V125" i="49"/>
  <c r="X125" i="49" s="1"/>
  <c r="T252" i="49"/>
  <c r="Q113" i="49"/>
  <c r="R113" i="49" s="1"/>
  <c r="S113" i="49" s="1"/>
  <c r="C250" i="49"/>
  <c r="V40" i="49"/>
  <c r="X40" i="49" s="1"/>
  <c r="Z40" i="49" s="1"/>
  <c r="AA40" i="49" s="1"/>
  <c r="W36" i="49"/>
  <c r="Y36" i="49" s="1"/>
  <c r="J248" i="49"/>
  <c r="C248" i="49"/>
  <c r="Q248" i="49"/>
  <c r="Q72" i="49"/>
  <c r="T207" i="49"/>
  <c r="R94" i="49"/>
  <c r="S94" i="49" s="1"/>
  <c r="AB18" i="49"/>
  <c r="N70" i="49"/>
  <c r="M70" i="49"/>
  <c r="R205" i="49"/>
  <c r="S205" i="49"/>
  <c r="H70" i="49"/>
  <c r="J70" i="49" s="1"/>
  <c r="N117" i="49"/>
  <c r="M117" i="49"/>
  <c r="O117" i="49" s="1"/>
  <c r="P117" i="49" s="1"/>
  <c r="S258" i="49"/>
  <c r="H117" i="49"/>
  <c r="J117" i="49" s="1"/>
  <c r="V117" i="49" s="1"/>
  <c r="X117" i="49" s="1"/>
  <c r="Z117" i="49" s="1"/>
  <c r="AA117" i="49" s="1"/>
  <c r="R258" i="49"/>
  <c r="M51" i="49"/>
  <c r="O51" i="49" s="1"/>
  <c r="P51" i="49" s="1"/>
  <c r="N51" i="49"/>
  <c r="H51" i="49"/>
  <c r="J51" i="49" s="1"/>
  <c r="V51" i="49" s="1"/>
  <c r="X51" i="49" s="1"/>
  <c r="Z51" i="49" s="1"/>
  <c r="AA51" i="49" s="1"/>
  <c r="S184" i="49"/>
  <c r="R184" i="49"/>
  <c r="O94" i="49"/>
  <c r="P94" i="49" s="1"/>
  <c r="T148" i="49"/>
  <c r="Q17" i="49"/>
  <c r="AB70" i="49"/>
  <c r="W94" i="49"/>
  <c r="Y94" i="49" s="1"/>
  <c r="Z94" i="49" s="1"/>
  <c r="AA94" i="49" s="1"/>
  <c r="AB31" i="49"/>
  <c r="S178" i="49"/>
  <c r="H45" i="49"/>
  <c r="J45" i="49" s="1"/>
  <c r="R178" i="49"/>
  <c r="N45" i="49"/>
  <c r="M45" i="49"/>
  <c r="O45" i="49" s="1"/>
  <c r="P45" i="49" s="1"/>
  <c r="W17" i="49"/>
  <c r="Y17" i="49" s="1"/>
  <c r="V47" i="49"/>
  <c r="X47" i="49" s="1"/>
  <c r="Z47" i="49" s="1"/>
  <c r="AA47" i="49" s="1"/>
  <c r="Q174" i="49"/>
  <c r="J174" i="49"/>
  <c r="C174" i="49"/>
  <c r="Q263" i="49"/>
  <c r="C263" i="49"/>
  <c r="J263" i="49"/>
  <c r="T180" i="49"/>
  <c r="Q47" i="49"/>
  <c r="M54" i="49"/>
  <c r="R189" i="49"/>
  <c r="S189" i="49"/>
  <c r="N54" i="49"/>
  <c r="H54" i="49"/>
  <c r="J54" i="49" s="1"/>
  <c r="Q122" i="49"/>
  <c r="T263" i="49"/>
  <c r="R168" i="49"/>
  <c r="S168" i="49"/>
  <c r="N35" i="49"/>
  <c r="M35" i="49"/>
  <c r="O35" i="49" s="1"/>
  <c r="P35" i="49" s="1"/>
  <c r="H35" i="49"/>
  <c r="J35" i="49" s="1"/>
  <c r="V35" i="49" s="1"/>
  <c r="X35" i="49" s="1"/>
  <c r="Z35" i="49" s="1"/>
  <c r="AA35" i="49" s="1"/>
  <c r="W15" i="49"/>
  <c r="Y15" i="49" s="1"/>
  <c r="Q15" i="49"/>
  <c r="T146" i="49"/>
  <c r="Q259" i="49"/>
  <c r="J259" i="49"/>
  <c r="C259" i="49"/>
  <c r="H104" i="49"/>
  <c r="J104" i="49" s="1"/>
  <c r="V104" i="49" s="1"/>
  <c r="X104" i="49" s="1"/>
  <c r="S243" i="49"/>
  <c r="N104" i="49"/>
  <c r="M104" i="49"/>
  <c r="O104" i="49" s="1"/>
  <c r="P104" i="49" s="1"/>
  <c r="R243" i="49"/>
  <c r="R77" i="49"/>
  <c r="S77" i="49" s="1"/>
  <c r="J260" i="49"/>
  <c r="S206" i="49"/>
  <c r="R206" i="49"/>
  <c r="M71" i="49"/>
  <c r="N71" i="49"/>
  <c r="H71" i="49"/>
  <c r="J71" i="49" s="1"/>
  <c r="W130" i="49"/>
  <c r="Y130" i="49" s="1"/>
  <c r="W102" i="49"/>
  <c r="Y102" i="49" s="1"/>
  <c r="O21" i="49"/>
  <c r="P21" i="49" s="1"/>
  <c r="W71" i="49"/>
  <c r="Y71" i="49" s="1"/>
  <c r="V25" i="49"/>
  <c r="X25" i="49" s="1"/>
  <c r="Q35" i="49"/>
  <c r="T168" i="49"/>
  <c r="Q127" i="49"/>
  <c r="T268" i="49"/>
  <c r="S217" i="49"/>
  <c r="R217" i="49"/>
  <c r="N80" i="49"/>
  <c r="M80" i="49"/>
  <c r="O80" i="49" s="1"/>
  <c r="P80" i="49" s="1"/>
  <c r="H80" i="49"/>
  <c r="J80" i="49" s="1"/>
  <c r="V80" i="49" s="1"/>
  <c r="X80" i="49" s="1"/>
  <c r="Z80" i="49" s="1"/>
  <c r="AA80" i="49" s="1"/>
  <c r="O81" i="49"/>
  <c r="P81" i="49" s="1"/>
  <c r="R81" i="49" s="1"/>
  <c r="S81" i="49" s="1"/>
  <c r="W120" i="49"/>
  <c r="Y120" i="49" s="1"/>
  <c r="Z27" i="21"/>
  <c r="AA27" i="21" s="1"/>
  <c r="S259" i="49"/>
  <c r="R259" i="49"/>
  <c r="H118" i="49"/>
  <c r="J118" i="49" s="1"/>
  <c r="W118" i="49" s="1"/>
  <c r="Y118" i="49" s="1"/>
  <c r="N118" i="49"/>
  <c r="M118" i="49"/>
  <c r="O118" i="49" s="1"/>
  <c r="P118" i="49" s="1"/>
  <c r="W107" i="49"/>
  <c r="Y107" i="49" s="1"/>
  <c r="J179" i="49"/>
  <c r="C179" i="49"/>
  <c r="Q179" i="49"/>
  <c r="V29" i="49"/>
  <c r="X29" i="49" s="1"/>
  <c r="Z29" i="49" s="1"/>
  <c r="AA29" i="49" s="1"/>
  <c r="H100" i="49"/>
  <c r="J100" i="49" s="1"/>
  <c r="V100" i="49" s="1"/>
  <c r="X100" i="49" s="1"/>
  <c r="Z100" i="49" s="1"/>
  <c r="AA100" i="49" s="1"/>
  <c r="S239" i="49"/>
  <c r="R239" i="49"/>
  <c r="N100" i="49"/>
  <c r="M100" i="49"/>
  <c r="O100" i="49" s="1"/>
  <c r="P100" i="49" s="1"/>
  <c r="J199" i="49"/>
  <c r="W42" i="49"/>
  <c r="Y42" i="49" s="1"/>
  <c r="R150" i="49"/>
  <c r="S150" i="49"/>
  <c r="M19" i="49"/>
  <c r="H19" i="49"/>
  <c r="J19" i="49" s="1"/>
  <c r="N19" i="49"/>
  <c r="T156" i="49"/>
  <c r="Q25" i="49"/>
  <c r="Q30" i="49"/>
  <c r="T161" i="49"/>
  <c r="AB106" i="49"/>
  <c r="N99" i="49"/>
  <c r="R238" i="49"/>
  <c r="M99" i="49"/>
  <c r="O99" i="49" s="1"/>
  <c r="P99" i="49" s="1"/>
  <c r="S238" i="49"/>
  <c r="H99" i="49"/>
  <c r="J99" i="49" s="1"/>
  <c r="V99" i="49" s="1"/>
  <c r="X99" i="49" s="1"/>
  <c r="Z99" i="49" s="1"/>
  <c r="AA99" i="49" s="1"/>
  <c r="AB133" i="49"/>
  <c r="O73" i="49"/>
  <c r="P73" i="49" s="1"/>
  <c r="R73" i="49" s="1"/>
  <c r="S73" i="49" s="1"/>
  <c r="T183" i="49"/>
  <c r="Q50" i="49"/>
  <c r="C240" i="49"/>
  <c r="J240" i="49"/>
  <c r="Q240" i="49"/>
  <c r="N97" i="49"/>
  <c r="H97" i="49"/>
  <c r="J97" i="49" s="1"/>
  <c r="M97" i="49"/>
  <c r="O97" i="49" s="1"/>
  <c r="P97" i="49" s="1"/>
  <c r="S236" i="49"/>
  <c r="R236" i="49"/>
  <c r="H40" i="49"/>
  <c r="J40" i="49" s="1"/>
  <c r="R173" i="49"/>
  <c r="S173" i="49"/>
  <c r="M40" i="49"/>
  <c r="N40" i="49"/>
  <c r="H125" i="49"/>
  <c r="J125" i="49" s="1"/>
  <c r="W125" i="49" s="1"/>
  <c r="Y125" i="49" s="1"/>
  <c r="R266" i="49"/>
  <c r="S266" i="49"/>
  <c r="M125" i="49"/>
  <c r="N125" i="49"/>
  <c r="Z115" i="49"/>
  <c r="AA115" i="49" s="1"/>
  <c r="Q253" i="49"/>
  <c r="J253" i="49"/>
  <c r="C253" i="49"/>
  <c r="H72" i="49"/>
  <c r="J72" i="49" s="1"/>
  <c r="W72" i="49" s="1"/>
  <c r="Y72" i="49" s="1"/>
  <c r="R207" i="49"/>
  <c r="M72" i="49"/>
  <c r="S207" i="49"/>
  <c r="N72" i="49"/>
  <c r="V45" i="49"/>
  <c r="X45" i="49" s="1"/>
  <c r="Z45" i="49" s="1"/>
  <c r="AA45" i="49" s="1"/>
  <c r="V113" i="49"/>
  <c r="X113" i="49" s="1"/>
  <c r="Z113" i="49" s="1"/>
  <c r="AA113" i="49" s="1"/>
  <c r="M18" i="49"/>
  <c r="N18" i="49"/>
  <c r="R149" i="49"/>
  <c r="S149" i="49"/>
  <c r="H18" i="49"/>
  <c r="J18" i="49" s="1"/>
  <c r="O86" i="49"/>
  <c r="P86" i="49" s="1"/>
  <c r="O24" i="49"/>
  <c r="P24" i="49" s="1"/>
  <c r="R24" i="49" s="1"/>
  <c r="S24" i="49" s="1"/>
  <c r="C167" i="49"/>
  <c r="Q167" i="49"/>
  <c r="J167" i="49"/>
  <c r="Q220" i="49"/>
  <c r="C220" i="49"/>
  <c r="J220" i="49"/>
  <c r="C178" i="49"/>
  <c r="Q178" i="49"/>
  <c r="J178" i="49"/>
  <c r="J169" i="49"/>
  <c r="Q169" i="49"/>
  <c r="C169" i="49"/>
  <c r="W61" i="49"/>
  <c r="Y61" i="49" s="1"/>
  <c r="W136" i="49"/>
  <c r="Y136" i="49" s="1"/>
  <c r="T247" i="49"/>
  <c r="Q108" i="49"/>
  <c r="N56" i="49"/>
  <c r="H56" i="49"/>
  <c r="J56" i="49" s="1"/>
  <c r="W56" i="49" s="1"/>
  <c r="Y56" i="49" s="1"/>
  <c r="R191" i="49"/>
  <c r="M56" i="49"/>
  <c r="O56" i="49" s="1"/>
  <c r="P56" i="49" s="1"/>
  <c r="S191" i="49"/>
  <c r="Q128" i="49"/>
  <c r="R128" i="49" s="1"/>
  <c r="S128" i="49" s="1"/>
  <c r="T269" i="49"/>
  <c r="R22" i="49"/>
  <c r="S22" i="49" s="1"/>
  <c r="Q204" i="49"/>
  <c r="J204" i="49"/>
  <c r="C204" i="49"/>
  <c r="N102" i="49"/>
  <c r="H102" i="49"/>
  <c r="J102" i="49" s="1"/>
  <c r="M102" i="49"/>
  <c r="O102" i="49" s="1"/>
  <c r="P102" i="49" s="1"/>
  <c r="R241" i="49"/>
  <c r="S241" i="49"/>
  <c r="O111" i="49"/>
  <c r="P111" i="49" s="1"/>
  <c r="W105" i="49"/>
  <c r="Y105" i="49" s="1"/>
  <c r="S202" i="49"/>
  <c r="M67" i="49"/>
  <c r="N67" i="49"/>
  <c r="H67" i="49"/>
  <c r="J67" i="49" s="1"/>
  <c r="W67" i="49" s="1"/>
  <c r="Y67" i="49" s="1"/>
  <c r="R202" i="49"/>
  <c r="R268" i="49"/>
  <c r="H127" i="49"/>
  <c r="J127" i="49" s="1"/>
  <c r="W127" i="49" s="1"/>
  <c r="Y127" i="49" s="1"/>
  <c r="M127" i="49"/>
  <c r="N127" i="49"/>
  <c r="S268" i="49"/>
  <c r="J261" i="49"/>
  <c r="C261" i="49"/>
  <c r="Q261" i="49"/>
  <c r="C156" i="49"/>
  <c r="Q156" i="49"/>
  <c r="J156" i="49"/>
  <c r="W133" i="49"/>
  <c r="Y133" i="49" s="1"/>
  <c r="N25" i="49"/>
  <c r="M25" i="49"/>
  <c r="H25" i="49"/>
  <c r="J25" i="49" s="1"/>
  <c r="R156" i="49"/>
  <c r="S156" i="49"/>
  <c r="C274" i="49"/>
  <c r="J274" i="49"/>
  <c r="Q274" i="49"/>
  <c r="C260" i="49"/>
  <c r="Q217" i="49"/>
  <c r="C217" i="49"/>
  <c r="J217" i="49"/>
  <c r="N120" i="49"/>
  <c r="S261" i="49"/>
  <c r="H120" i="49"/>
  <c r="J120" i="49" s="1"/>
  <c r="V120" i="49" s="1"/>
  <c r="X120" i="49" s="1"/>
  <c r="Z120" i="49" s="1"/>
  <c r="AA120" i="49" s="1"/>
  <c r="M120" i="49"/>
  <c r="O120" i="49" s="1"/>
  <c r="P120" i="49" s="1"/>
  <c r="R261" i="49"/>
  <c r="H133" i="49"/>
  <c r="J133" i="49" s="1"/>
  <c r="V133" i="49" s="1"/>
  <c r="X133" i="49" s="1"/>
  <c r="Z133" i="49" s="1"/>
  <c r="AA133" i="49" s="1"/>
  <c r="M133" i="49"/>
  <c r="R274" i="49"/>
  <c r="N133" i="49"/>
  <c r="S274" i="49"/>
  <c r="R59" i="49"/>
  <c r="S59" i="49" s="1"/>
  <c r="V105" i="49"/>
  <c r="X105" i="49" s="1"/>
  <c r="Z105" i="49" s="1"/>
  <c r="AA105" i="49" s="1"/>
  <c r="H85" i="49"/>
  <c r="J85" i="49" s="1"/>
  <c r="V85" i="49" s="1"/>
  <c r="X85" i="49" s="1"/>
  <c r="R222" i="49"/>
  <c r="M85" i="49"/>
  <c r="S222" i="49"/>
  <c r="N85" i="49"/>
  <c r="J245" i="49"/>
  <c r="C245" i="49"/>
  <c r="Q245" i="49"/>
  <c r="T206" i="49"/>
  <c r="Q71" i="49"/>
  <c r="J171" i="49"/>
  <c r="C171" i="49"/>
  <c r="Q171" i="49"/>
  <c r="J239" i="49"/>
  <c r="C239" i="49"/>
  <c r="Q239" i="49"/>
  <c r="W134" i="49"/>
  <c r="Y134" i="49" s="1"/>
  <c r="T175" i="49"/>
  <c r="Q42" i="49"/>
  <c r="R42" i="49" s="1"/>
  <c r="S42" i="49" s="1"/>
  <c r="T271" i="49"/>
  <c r="Q130" i="49"/>
  <c r="J249" i="49"/>
  <c r="C249" i="49"/>
  <c r="Q249" i="49"/>
  <c r="R129" i="49"/>
  <c r="S129" i="49" s="1"/>
  <c r="T246" i="49"/>
  <c r="Q107" i="49"/>
  <c r="AB118" i="49"/>
  <c r="W80" i="49"/>
  <c r="Y80" i="49" s="1"/>
  <c r="C266" i="49"/>
  <c r="J266" i="49"/>
  <c r="Q266" i="49"/>
  <c r="R29" i="49"/>
  <c r="S29" i="49" s="1"/>
  <c r="W90" i="49"/>
  <c r="Y90" i="49" s="1"/>
  <c r="R64" i="49"/>
  <c r="S64" i="49" s="1"/>
  <c r="T237" i="49"/>
  <c r="Q98" i="49"/>
  <c r="R98" i="49" s="1"/>
  <c r="S98" i="49" s="1"/>
  <c r="T238" i="49"/>
  <c r="Q99" i="49"/>
  <c r="Z56" i="21"/>
  <c r="AA56" i="21" s="1"/>
  <c r="H50" i="49"/>
  <c r="J50" i="49" s="1"/>
  <c r="M50" i="49"/>
  <c r="R183" i="49"/>
  <c r="S183" i="49"/>
  <c r="N50" i="49"/>
  <c r="S177" i="49"/>
  <c r="N44" i="49"/>
  <c r="M44" i="49"/>
  <c r="O44" i="49" s="1"/>
  <c r="P44" i="49" s="1"/>
  <c r="R177" i="49"/>
  <c r="H44" i="49"/>
  <c r="J44" i="49" s="1"/>
  <c r="W126" i="49"/>
  <c r="Y126" i="49" s="1"/>
  <c r="V97" i="49"/>
  <c r="X97" i="49" s="1"/>
  <c r="V110" i="49"/>
  <c r="X110" i="49" s="1"/>
  <c r="W18" i="49"/>
  <c r="Y18" i="49" s="1"/>
  <c r="S253" i="49"/>
  <c r="H114" i="49"/>
  <c r="J114" i="49" s="1"/>
  <c r="W114" i="49" s="1"/>
  <c r="Y114" i="49" s="1"/>
  <c r="M114" i="49"/>
  <c r="N114" i="49"/>
  <c r="R253" i="49"/>
  <c r="C224" i="49"/>
  <c r="Q224" i="49"/>
  <c r="J224" i="49"/>
  <c r="T220" i="49"/>
  <c r="Q83" i="49"/>
  <c r="W76" i="49"/>
  <c r="Y76" i="49" s="1"/>
  <c r="W52" i="49"/>
  <c r="Y52" i="49" s="1"/>
  <c r="H84" i="49"/>
  <c r="J84" i="49" s="1"/>
  <c r="W84" i="49" s="1"/>
  <c r="Y84" i="49" s="1"/>
  <c r="M84" i="49"/>
  <c r="O84" i="49" s="1"/>
  <c r="P84" i="49" s="1"/>
  <c r="S221" i="49"/>
  <c r="R221" i="49"/>
  <c r="N84" i="49"/>
  <c r="H34" i="49"/>
  <c r="J34" i="49" s="1"/>
  <c r="S167" i="49"/>
  <c r="R167" i="49"/>
  <c r="N34" i="49"/>
  <c r="M34" i="49"/>
  <c r="O34" i="49" s="1"/>
  <c r="P34" i="49" s="1"/>
  <c r="W70" i="49"/>
  <c r="Y70" i="49" s="1"/>
  <c r="T213" i="49"/>
  <c r="Q76" i="49"/>
  <c r="Q205" i="49"/>
  <c r="J205" i="49"/>
  <c r="C205" i="49"/>
  <c r="C258" i="49"/>
  <c r="J258" i="49"/>
  <c r="Q258" i="49"/>
  <c r="Q182" i="49"/>
  <c r="C182" i="49"/>
  <c r="J182" i="49"/>
  <c r="AB87" i="49"/>
  <c r="W109" i="49"/>
  <c r="Y109" i="49" s="1"/>
  <c r="Z129" i="49"/>
  <c r="AA129" i="49" s="1"/>
  <c r="AB36" i="49"/>
  <c r="R185" i="49"/>
  <c r="H52" i="49"/>
  <c r="J52" i="49" s="1"/>
  <c r="N52" i="49"/>
  <c r="S185" i="49"/>
  <c r="M52" i="49"/>
  <c r="O52" i="49" s="1"/>
  <c r="P52" i="49" s="1"/>
  <c r="V83" i="49"/>
  <c r="X83" i="49" s="1"/>
  <c r="W43" i="49"/>
  <c r="Y43" i="49" s="1"/>
  <c r="K9" i="19"/>
  <c r="I59" i="19"/>
  <c r="J181" i="49"/>
  <c r="Q181" i="49"/>
  <c r="C181" i="49"/>
  <c r="H131" i="49"/>
  <c r="J131" i="49" s="1"/>
  <c r="V131" i="49" s="1"/>
  <c r="X131" i="49" s="1"/>
  <c r="M131" i="49"/>
  <c r="S272" i="49"/>
  <c r="R272" i="49"/>
  <c r="N131" i="49"/>
  <c r="R119" i="49"/>
  <c r="S119" i="49" s="1"/>
  <c r="R26" i="49"/>
  <c r="S26" i="49" s="1"/>
  <c r="M47" i="49"/>
  <c r="H47" i="49"/>
  <c r="J47" i="49" s="1"/>
  <c r="R180" i="49"/>
  <c r="S180" i="49"/>
  <c r="N47" i="49"/>
  <c r="C271" i="49"/>
  <c r="Q271" i="49"/>
  <c r="J271" i="49"/>
  <c r="V112" i="49"/>
  <c r="X112" i="49" s="1"/>
  <c r="N122" i="49"/>
  <c r="M122" i="49"/>
  <c r="O122" i="49" s="1"/>
  <c r="P122" i="49" s="1"/>
  <c r="H122" i="49"/>
  <c r="J122" i="49" s="1"/>
  <c r="W122" i="49" s="1"/>
  <c r="Y122" i="49" s="1"/>
  <c r="S263" i="49"/>
  <c r="R263" i="49"/>
  <c r="I59" i="63"/>
  <c r="K9" i="63"/>
  <c r="T202" i="49"/>
  <c r="Q67" i="49"/>
  <c r="AB112" i="49"/>
  <c r="V122" i="49"/>
  <c r="X122" i="49" s="1"/>
  <c r="J197" i="49"/>
  <c r="I59" i="7"/>
  <c r="K9" i="7"/>
  <c r="H105" i="49"/>
  <c r="J105" i="49" s="1"/>
  <c r="N105" i="49"/>
  <c r="S244" i="49"/>
  <c r="M105" i="49"/>
  <c r="O105" i="49" s="1"/>
  <c r="P105" i="49" s="1"/>
  <c r="R244" i="49"/>
  <c r="W100" i="49"/>
  <c r="Y100" i="49" s="1"/>
  <c r="T251" i="49"/>
  <c r="Q112" i="49"/>
  <c r="Q46" i="49"/>
  <c r="T179" i="49"/>
  <c r="Q106" i="49"/>
  <c r="T245" i="49"/>
  <c r="V44" i="49"/>
  <c r="X44" i="49" s="1"/>
  <c r="C270" i="49"/>
  <c r="AB107" i="49"/>
  <c r="Z25" i="62"/>
  <c r="AA25" i="62" s="1"/>
  <c r="AB80" i="49"/>
  <c r="S179" i="49"/>
  <c r="N46" i="49"/>
  <c r="R179" i="49"/>
  <c r="H46" i="49"/>
  <c r="J46" i="49" s="1"/>
  <c r="W46" i="49" s="1"/>
  <c r="Y46" i="49" s="1"/>
  <c r="M46" i="49"/>
  <c r="O46" i="49" s="1"/>
  <c r="P46" i="49" s="1"/>
  <c r="C199" i="49"/>
  <c r="Z30" i="57"/>
  <c r="AA30" i="57" s="1"/>
  <c r="T150" i="49"/>
  <c r="Q19" i="49"/>
  <c r="C222" i="49"/>
  <c r="J222" i="49"/>
  <c r="Q222" i="49"/>
  <c r="J161" i="49"/>
  <c r="Q161" i="49"/>
  <c r="C161" i="49"/>
  <c r="AB98" i="49"/>
  <c r="N132" i="49"/>
  <c r="H132" i="49"/>
  <c r="J132" i="49" s="1"/>
  <c r="S273" i="49"/>
  <c r="R273" i="49"/>
  <c r="M132" i="49"/>
  <c r="J173" i="49"/>
  <c r="C173" i="49"/>
  <c r="Q173" i="49"/>
  <c r="AB50" i="49"/>
  <c r="W44" i="49"/>
  <c r="Y44" i="49" s="1"/>
  <c r="AB101" i="49"/>
  <c r="C267" i="49"/>
  <c r="Q267" i="49"/>
  <c r="J267" i="49"/>
  <c r="W97" i="49"/>
  <c r="Y97" i="49" s="1"/>
  <c r="T249" i="49"/>
  <c r="Q110" i="49"/>
  <c r="R110" i="49" s="1"/>
  <c r="S110" i="49" s="1"/>
  <c r="R111" i="49"/>
  <c r="S111" i="49" s="1"/>
  <c r="H49" i="49"/>
  <c r="J49" i="49" s="1"/>
  <c r="W49" i="49" s="1"/>
  <c r="Y49" i="49" s="1"/>
  <c r="M49" i="49"/>
  <c r="R182" i="49"/>
  <c r="S182" i="49"/>
  <c r="N49" i="49"/>
  <c r="V84" i="49"/>
  <c r="X84" i="49" s="1"/>
  <c r="S235" i="49"/>
  <c r="H96" i="49"/>
  <c r="J96" i="49" s="1"/>
  <c r="M96" i="49"/>
  <c r="N96" i="49"/>
  <c r="R235" i="49"/>
  <c r="V109" i="49"/>
  <c r="X109" i="49" s="1"/>
  <c r="T248" i="49"/>
  <c r="Q109" i="49"/>
  <c r="R109" i="49" s="1"/>
  <c r="S109" i="49" s="1"/>
  <c r="T182" i="49"/>
  <c r="Q49" i="49"/>
  <c r="Z57" i="49"/>
  <c r="AA57" i="49" s="1"/>
  <c r="Q170" i="49"/>
  <c r="C170" i="49"/>
  <c r="J170" i="49"/>
  <c r="AB109" i="49"/>
  <c r="Z66" i="49"/>
  <c r="AA66" i="49" s="1"/>
  <c r="Z22" i="49"/>
  <c r="AA22" i="49" s="1"/>
  <c r="AB37" i="49"/>
  <c r="O75" i="49"/>
  <c r="P75" i="49" s="1"/>
  <c r="W45" i="49"/>
  <c r="Y45" i="49" s="1"/>
  <c r="R190" i="49"/>
  <c r="N55" i="49"/>
  <c r="S190" i="49"/>
  <c r="M55" i="49"/>
  <c r="O55" i="49" s="1"/>
  <c r="P55" i="49" s="1"/>
  <c r="H55" i="49"/>
  <c r="J55" i="49" s="1"/>
  <c r="V55" i="49" s="1"/>
  <c r="X55" i="49" s="1"/>
  <c r="Q54" i="49"/>
  <c r="T189" i="49"/>
  <c r="N37" i="49"/>
  <c r="R170" i="49"/>
  <c r="H37" i="49"/>
  <c r="J37" i="49" s="1"/>
  <c r="M37" i="49"/>
  <c r="S170" i="49"/>
  <c r="Q176" i="49"/>
  <c r="C176" i="49"/>
  <c r="J176" i="49"/>
  <c r="V37" i="49"/>
  <c r="X37" i="49" s="1"/>
  <c r="Z37" i="49" s="1"/>
  <c r="AA37" i="49" s="1"/>
  <c r="Q213" i="49"/>
  <c r="C213" i="49"/>
  <c r="J213" i="49"/>
  <c r="J207" i="49"/>
  <c r="Q207" i="49"/>
  <c r="C207" i="49"/>
  <c r="S198" i="49"/>
  <c r="R198" i="49"/>
  <c r="M63" i="49"/>
  <c r="H63" i="49"/>
  <c r="J63" i="49" s="1"/>
  <c r="V63" i="49" s="1"/>
  <c r="X63" i="49" s="1"/>
  <c r="N63" i="49"/>
  <c r="V87" i="49"/>
  <c r="X87" i="49" s="1"/>
  <c r="Z87" i="49" s="1"/>
  <c r="AA87" i="49" s="1"/>
  <c r="V70" i="49"/>
  <c r="X70" i="49" s="1"/>
  <c r="Z70" i="49" s="1"/>
  <c r="AA70" i="49" s="1"/>
  <c r="O29" i="49"/>
  <c r="P29" i="49" s="1"/>
  <c r="R86" i="49"/>
  <c r="S86" i="49" s="1"/>
  <c r="V102" i="49"/>
  <c r="X102" i="49" s="1"/>
  <c r="Z102" i="49" s="1"/>
  <c r="AA102" i="49" s="1"/>
  <c r="Q33" i="49"/>
  <c r="R33" i="49" s="1"/>
  <c r="S33" i="49" s="1"/>
  <c r="T166" i="49"/>
  <c r="V71" i="49"/>
  <c r="X71" i="49" s="1"/>
  <c r="Z71" i="49" s="1"/>
  <c r="AA71" i="49" s="1"/>
  <c r="AB100" i="49"/>
  <c r="Q135" i="49"/>
  <c r="T276" i="49"/>
  <c r="AB122" i="49"/>
  <c r="Q268" i="49"/>
  <c r="C268" i="49"/>
  <c r="J268" i="49"/>
  <c r="W19" i="49"/>
  <c r="Y19" i="49" s="1"/>
  <c r="V54" i="49"/>
  <c r="X54" i="49" s="1"/>
  <c r="Z54" i="49" s="1"/>
  <c r="AA54" i="49" s="1"/>
  <c r="M38" i="49"/>
  <c r="N38" i="49"/>
  <c r="R171" i="49"/>
  <c r="S171" i="49"/>
  <c r="H38" i="49"/>
  <c r="J38" i="49" s="1"/>
  <c r="W38" i="49" s="1"/>
  <c r="Y38" i="49" s="1"/>
  <c r="C262" i="49"/>
  <c r="J262" i="49"/>
  <c r="Q262" i="49"/>
  <c r="C208" i="49"/>
  <c r="N107" i="49"/>
  <c r="M107" i="49"/>
  <c r="O107" i="49" s="1"/>
  <c r="P107" i="49" s="1"/>
  <c r="R246" i="49"/>
  <c r="H107" i="49"/>
  <c r="J107" i="49" s="1"/>
  <c r="V107" i="49" s="1"/>
  <c r="X107" i="49" s="1"/>
  <c r="Z107" i="49" s="1"/>
  <c r="AA107" i="49" s="1"/>
  <c r="S246" i="49"/>
  <c r="C252" i="49"/>
  <c r="J252" i="49"/>
  <c r="Q252" i="49"/>
  <c r="J193" i="49"/>
  <c r="Q125" i="49"/>
  <c r="T266" i="49"/>
  <c r="W39" i="49"/>
  <c r="Y39" i="49" s="1"/>
  <c r="N42" i="49"/>
  <c r="S175" i="49"/>
  <c r="M42" i="49"/>
  <c r="O42" i="49" s="1"/>
  <c r="P42" i="49" s="1"/>
  <c r="R175" i="49"/>
  <c r="H42" i="49"/>
  <c r="J42" i="49" s="1"/>
  <c r="AB19" i="49"/>
  <c r="T222" i="49"/>
  <c r="Q85" i="49"/>
  <c r="AB30" i="49"/>
  <c r="M98" i="49"/>
  <c r="O98" i="49" s="1"/>
  <c r="P98" i="49" s="1"/>
  <c r="N98" i="49"/>
  <c r="R237" i="49"/>
  <c r="H98" i="49"/>
  <c r="J98" i="49" s="1"/>
  <c r="S237" i="49"/>
  <c r="W106" i="49"/>
  <c r="Y106" i="49" s="1"/>
  <c r="W132" i="49"/>
  <c r="Y132" i="49" s="1"/>
  <c r="O77" i="49"/>
  <c r="P77" i="49" s="1"/>
  <c r="AB40" i="49"/>
  <c r="W50" i="49"/>
  <c r="Y50" i="49" s="1"/>
  <c r="AB44" i="49"/>
  <c r="O14" i="49"/>
  <c r="P14" i="49" s="1"/>
  <c r="R14" i="49" s="1"/>
  <c r="S14" i="49" s="1"/>
  <c r="Q126" i="49"/>
  <c r="T267" i="49"/>
  <c r="Q236" i="49"/>
  <c r="J236" i="49"/>
  <c r="C236" i="49"/>
  <c r="V114" i="49"/>
  <c r="X114" i="49" s="1"/>
  <c r="W33" i="49"/>
  <c r="Y33" i="49" s="1"/>
  <c r="V90" i="49"/>
  <c r="X90" i="49" s="1"/>
  <c r="Z90" i="49" s="1"/>
  <c r="AA90" i="49" s="1"/>
  <c r="S248" i="49"/>
  <c r="N109" i="49"/>
  <c r="H109" i="49"/>
  <c r="J109" i="49" s="1"/>
  <c r="R248" i="49"/>
  <c r="M109" i="49"/>
  <c r="O109" i="49" s="1"/>
  <c r="P109" i="49" s="1"/>
  <c r="Q149" i="49"/>
  <c r="J149" i="49"/>
  <c r="C149" i="49"/>
  <c r="W37" i="49"/>
  <c r="Y37" i="49" s="1"/>
  <c r="AB132" i="49"/>
  <c r="R20" i="49"/>
  <c r="S20" i="49" s="1"/>
  <c r="O16" i="49"/>
  <c r="P16" i="49" s="1"/>
  <c r="S251" i="49"/>
  <c r="M112" i="49"/>
  <c r="N112" i="49"/>
  <c r="R251" i="49"/>
  <c r="H112" i="49"/>
  <c r="J112" i="49" s="1"/>
  <c r="W112" i="49" s="1"/>
  <c r="Y112" i="49" s="1"/>
  <c r="M15" i="49"/>
  <c r="H15" i="49"/>
  <c r="J15" i="49" s="1"/>
  <c r="V15" i="49" s="1"/>
  <c r="X15" i="49" s="1"/>
  <c r="Z15" i="49" s="1"/>
  <c r="AA15" i="49" s="1"/>
  <c r="S146" i="49"/>
  <c r="R146" i="49"/>
  <c r="N15" i="49"/>
  <c r="Q120" i="49"/>
  <c r="R120" i="49" s="1"/>
  <c r="S120" i="49" s="1"/>
  <c r="T261" i="49"/>
  <c r="AB135" i="49"/>
  <c r="W35" i="49"/>
  <c r="Y35" i="49" s="1"/>
  <c r="O23" i="49"/>
  <c r="P23" i="49" s="1"/>
  <c r="R23" i="49" s="1"/>
  <c r="S23" i="49" s="1"/>
  <c r="V118" i="49"/>
  <c r="X118" i="49" s="1"/>
  <c r="AB38" i="49"/>
  <c r="V134" i="49"/>
  <c r="X134" i="49" s="1"/>
  <c r="Z134" i="49" s="1"/>
  <c r="AA134" i="49" s="1"/>
  <c r="T204" i="49"/>
  <c r="Q69" i="49"/>
  <c r="M130" i="49"/>
  <c r="H130" i="49"/>
  <c r="J130" i="49" s="1"/>
  <c r="N130" i="49"/>
  <c r="S271" i="49"/>
  <c r="R271" i="49"/>
  <c r="W54" i="49"/>
  <c r="Y54" i="49" s="1"/>
  <c r="V93" i="49"/>
  <c r="X93" i="49" s="1"/>
  <c r="Z93" i="49" s="1"/>
  <c r="AA93" i="49" s="1"/>
  <c r="AB127" i="49"/>
  <c r="Z29" i="48"/>
  <c r="AA29" i="48" s="1"/>
  <c r="AB33" i="49"/>
  <c r="V50" i="49"/>
  <c r="X50" i="49" s="1"/>
  <c r="J270" i="49"/>
  <c r="Q244" i="49"/>
  <c r="C244" i="49"/>
  <c r="J244" i="49"/>
  <c r="Q150" i="49"/>
  <c r="J150" i="49"/>
  <c r="C150" i="49"/>
  <c r="H121" i="49"/>
  <c r="J121" i="49" s="1"/>
  <c r="W121" i="49" s="1"/>
  <c r="Y121" i="49" s="1"/>
  <c r="R262" i="49"/>
  <c r="S262" i="49"/>
  <c r="N121" i="49"/>
  <c r="M121" i="49"/>
  <c r="O121" i="49" s="1"/>
  <c r="P121" i="49" s="1"/>
  <c r="J208" i="49"/>
  <c r="AB113" i="49"/>
  <c r="O92" i="49"/>
  <c r="P92" i="49" s="1"/>
  <c r="R92" i="49" s="1"/>
  <c r="S92" i="49" s="1"/>
  <c r="AB125" i="49"/>
  <c r="O91" i="49"/>
  <c r="P91" i="49" s="1"/>
  <c r="R91" i="49" s="1"/>
  <c r="S91" i="49" s="1"/>
  <c r="H39" i="49"/>
  <c r="J39" i="49" s="1"/>
  <c r="V39" i="49" s="1"/>
  <c r="X39" i="49" s="1"/>
  <c r="Z39" i="49" s="1"/>
  <c r="AA39" i="49" s="1"/>
  <c r="N39" i="49"/>
  <c r="R172" i="49"/>
  <c r="M39" i="49"/>
  <c r="S172" i="49"/>
  <c r="R115" i="49"/>
  <c r="S115" i="49" s="1"/>
  <c r="J221" i="49"/>
  <c r="Q221" i="49"/>
  <c r="C221" i="49"/>
  <c r="V98" i="49"/>
  <c r="X98" i="49" s="1"/>
  <c r="M106" i="49"/>
  <c r="O106" i="49" s="1"/>
  <c r="P106" i="49" s="1"/>
  <c r="R245" i="49"/>
  <c r="S245" i="49"/>
  <c r="H106" i="49"/>
  <c r="J106" i="49" s="1"/>
  <c r="V106" i="49" s="1"/>
  <c r="X106" i="49" s="1"/>
  <c r="Z106" i="49" s="1"/>
  <c r="AA106" i="49" s="1"/>
  <c r="N106" i="49"/>
  <c r="J273" i="49"/>
  <c r="C273" i="49"/>
  <c r="Q273" i="49"/>
  <c r="C238" i="49"/>
  <c r="J238" i="49"/>
  <c r="Q238" i="49"/>
  <c r="Q34" i="49"/>
  <c r="R34" i="49" s="1"/>
  <c r="S34" i="49" s="1"/>
  <c r="T167" i="49"/>
  <c r="Q40" i="49"/>
  <c r="T173" i="49"/>
  <c r="J183" i="49"/>
  <c r="Q183" i="49"/>
  <c r="C183" i="49"/>
  <c r="N101" i="49"/>
  <c r="R240" i="49"/>
  <c r="S240" i="49"/>
  <c r="H101" i="49"/>
  <c r="J101" i="49" s="1"/>
  <c r="W101" i="49" s="1"/>
  <c r="Y101" i="49" s="1"/>
  <c r="M101" i="49"/>
  <c r="J201" i="49"/>
  <c r="T236" i="49"/>
  <c r="Q97" i="49"/>
  <c r="AB114" i="49"/>
  <c r="V36" i="49"/>
  <c r="X36" i="49" s="1"/>
  <c r="Q45" i="49"/>
  <c r="T178" i="49"/>
  <c r="V132" i="49"/>
  <c r="X132" i="49" s="1"/>
  <c r="Z132" i="49" s="1"/>
  <c r="AA132" i="49" s="1"/>
  <c r="W34" i="49"/>
  <c r="Y34" i="49" s="1"/>
  <c r="W40" i="49"/>
  <c r="Y40" i="49" s="1"/>
  <c r="T205" i="49"/>
  <c r="Q70" i="49"/>
  <c r="O79" i="49"/>
  <c r="P79" i="49" s="1"/>
  <c r="I59" i="58"/>
  <c r="K9" i="58"/>
  <c r="W87" i="49"/>
  <c r="Y87" i="49" s="1"/>
  <c r="Q36" i="49"/>
  <c r="T169" i="49"/>
  <c r="T196" i="49"/>
  <c r="Q61" i="49"/>
  <c r="M83" i="49"/>
  <c r="R220" i="49"/>
  <c r="N83" i="49"/>
  <c r="S220" i="49"/>
  <c r="H83" i="49"/>
  <c r="J83" i="49" s="1"/>
  <c r="W83" i="49" s="1"/>
  <c r="Y83" i="49" s="1"/>
  <c r="Q124" i="49"/>
  <c r="R124" i="49" s="1"/>
  <c r="S124" i="49" s="1"/>
  <c r="T265" i="49"/>
  <c r="C166" i="49"/>
  <c r="Q166" i="49"/>
  <c r="J166" i="49"/>
  <c r="R79" i="49"/>
  <c r="S79" i="49" s="1"/>
  <c r="AB45" i="49"/>
  <c r="O115" i="49"/>
  <c r="P115" i="49" s="1"/>
  <c r="Z23" i="49"/>
  <c r="AA23" i="49" s="1"/>
  <c r="T241" i="49"/>
  <c r="Q102" i="49"/>
  <c r="J200" i="49"/>
  <c r="C200" i="49"/>
  <c r="Q200" i="49"/>
  <c r="Q117" i="49"/>
  <c r="T258" i="49"/>
  <c r="Z82" i="49"/>
  <c r="AA82" i="49" s="1"/>
  <c r="T243" i="49"/>
  <c r="Q104" i="49"/>
  <c r="R68" i="49"/>
  <c r="S68" i="49" s="1"/>
  <c r="M41" i="49"/>
  <c r="H41" i="49"/>
  <c r="J41" i="49" s="1"/>
  <c r="V41" i="49" s="1"/>
  <c r="X41" i="49" s="1"/>
  <c r="R174" i="49"/>
  <c r="S174" i="49"/>
  <c r="N41" i="49"/>
  <c r="V38" i="49"/>
  <c r="X38" i="49" s="1"/>
  <c r="J275" i="49"/>
  <c r="Q275" i="49"/>
  <c r="C275" i="49"/>
  <c r="Q243" i="49"/>
  <c r="J243" i="49"/>
  <c r="C243" i="49"/>
  <c r="Q276" i="49"/>
  <c r="J276" i="49"/>
  <c r="C276" i="49"/>
  <c r="S275" i="49"/>
  <c r="R275" i="49"/>
  <c r="N134" i="49"/>
  <c r="M134" i="49"/>
  <c r="O134" i="49" s="1"/>
  <c r="P134" i="49" s="1"/>
  <c r="H134" i="49"/>
  <c r="J134" i="49" s="1"/>
  <c r="J241" i="49"/>
  <c r="Q241" i="49"/>
  <c r="C241" i="49"/>
  <c r="C197" i="49"/>
  <c r="N69" i="49"/>
  <c r="M69" i="49"/>
  <c r="O69" i="49" s="1"/>
  <c r="P69" i="49" s="1"/>
  <c r="H69" i="49"/>
  <c r="J69" i="49" s="1"/>
  <c r="W69" i="49" s="1"/>
  <c r="Y69" i="49" s="1"/>
  <c r="S204" i="49"/>
  <c r="R204" i="49"/>
  <c r="Q168" i="49"/>
  <c r="J168" i="49"/>
  <c r="C168" i="49"/>
  <c r="Q251" i="49"/>
  <c r="J251" i="49"/>
  <c r="C251" i="49"/>
  <c r="Q118" i="49"/>
  <c r="T259" i="49"/>
  <c r="T275" i="49"/>
  <c r="Q134" i="49"/>
  <c r="R134" i="49" s="1"/>
  <c r="S134" i="49" s="1"/>
  <c r="Q175" i="49"/>
  <c r="J175" i="49"/>
  <c r="C175" i="49"/>
  <c r="V130" i="49"/>
  <c r="X130" i="49" s="1"/>
  <c r="AB67" i="49"/>
  <c r="Q121" i="49"/>
  <c r="T262" i="49"/>
  <c r="J246" i="49"/>
  <c r="C246" i="49"/>
  <c r="Q246" i="49"/>
  <c r="S252" i="49"/>
  <c r="M113" i="49"/>
  <c r="O113" i="49" s="1"/>
  <c r="P113" i="49" s="1"/>
  <c r="N113" i="49"/>
  <c r="R252" i="49"/>
  <c r="H113" i="49"/>
  <c r="J113" i="49" s="1"/>
  <c r="C193" i="49"/>
  <c r="Q18" i="49"/>
  <c r="T149" i="49"/>
  <c r="Q172" i="49"/>
  <c r="J172" i="49"/>
  <c r="C172" i="49"/>
  <c r="T227" i="49"/>
  <c r="Q90" i="49"/>
  <c r="R75" i="49"/>
  <c r="S75" i="49" s="1"/>
  <c r="W98" i="49"/>
  <c r="Y98" i="49" s="1"/>
  <c r="T273" i="49"/>
  <c r="Q132" i="49"/>
  <c r="W99" i="49"/>
  <c r="Y99" i="49" s="1"/>
  <c r="AB34" i="49"/>
  <c r="C201" i="49"/>
  <c r="Q114" i="49"/>
  <c r="T253" i="49"/>
  <c r="Z103" i="49" l="1"/>
  <c r="AA103" i="49" s="1"/>
  <c r="R67" i="49"/>
  <c r="S67" i="49" s="1"/>
  <c r="Z38" i="49"/>
  <c r="AA38" i="49" s="1"/>
  <c r="W123" i="49"/>
  <c r="Y123" i="49" s="1"/>
  <c r="Z123" i="49" s="1"/>
  <c r="AA123" i="49" s="1"/>
  <c r="V108" i="49"/>
  <c r="X108" i="49" s="1"/>
  <c r="Z108" i="49" s="1"/>
  <c r="AA108" i="49" s="1"/>
  <c r="Z84" i="49"/>
  <c r="AA84" i="49" s="1"/>
  <c r="V101" i="49"/>
  <c r="X101" i="49" s="1"/>
  <c r="Z101" i="49" s="1"/>
  <c r="AA101" i="49" s="1"/>
  <c r="Z118" i="49"/>
  <c r="AA118" i="49" s="1"/>
  <c r="Z83" i="49"/>
  <c r="AA83" i="49" s="1"/>
  <c r="V128" i="49"/>
  <c r="X128" i="49" s="1"/>
  <c r="Z128" i="49" s="1"/>
  <c r="AA128" i="49" s="1"/>
  <c r="O85" i="49"/>
  <c r="P85" i="49" s="1"/>
  <c r="R85" i="49" s="1"/>
  <c r="S85" i="49" s="1"/>
  <c r="O72" i="49"/>
  <c r="P72" i="49" s="1"/>
  <c r="R126" i="49"/>
  <c r="S126" i="49" s="1"/>
  <c r="R90" i="49"/>
  <c r="S90" i="49" s="1"/>
  <c r="R15" i="49"/>
  <c r="S15" i="49" s="1"/>
  <c r="R84" i="49"/>
  <c r="S84" i="49" s="1"/>
  <c r="O63" i="49"/>
  <c r="P63" i="49" s="1"/>
  <c r="R63" i="49" s="1"/>
  <c r="S63" i="49" s="1"/>
  <c r="V72" i="49"/>
  <c r="X72" i="49" s="1"/>
  <c r="Z72" i="49" s="1"/>
  <c r="AA72" i="49" s="1"/>
  <c r="R36" i="49"/>
  <c r="S36" i="49" s="1"/>
  <c r="O125" i="49"/>
  <c r="P125" i="49" s="1"/>
  <c r="R125" i="49" s="1"/>
  <c r="S125" i="49" s="1"/>
  <c r="W85" i="49"/>
  <c r="Y85" i="49" s="1"/>
  <c r="Z85" i="49" s="1"/>
  <c r="AA85" i="49" s="1"/>
  <c r="R123" i="49"/>
  <c r="S123" i="49" s="1"/>
  <c r="Z44" i="49"/>
  <c r="AA44" i="49" s="1"/>
  <c r="Z110" i="49"/>
  <c r="AA110" i="49" s="1"/>
  <c r="O67" i="49"/>
  <c r="P67" i="49" s="1"/>
  <c r="V135" i="49"/>
  <c r="X135" i="49" s="1"/>
  <c r="Z135" i="49" s="1"/>
  <c r="AA135" i="49" s="1"/>
  <c r="O112" i="49"/>
  <c r="P112" i="49" s="1"/>
  <c r="Z97" i="49"/>
  <c r="AA97" i="49" s="1"/>
  <c r="Z42" i="49"/>
  <c r="AA42" i="49" s="1"/>
  <c r="R106" i="49"/>
  <c r="S106" i="49" s="1"/>
  <c r="O19" i="49"/>
  <c r="P19" i="49" s="1"/>
  <c r="R35" i="49"/>
  <c r="S35" i="49" s="1"/>
  <c r="O61" i="49"/>
  <c r="P61" i="49" s="1"/>
  <c r="R61" i="49" s="1"/>
  <c r="S61" i="49" s="1"/>
  <c r="R117" i="49"/>
  <c r="S117" i="49" s="1"/>
  <c r="Z50" i="49"/>
  <c r="AA50" i="49" s="1"/>
  <c r="V69" i="49"/>
  <c r="X69" i="49" s="1"/>
  <c r="Z69" i="49" s="1"/>
  <c r="AA69" i="49" s="1"/>
  <c r="O40" i="49"/>
  <c r="P40" i="49" s="1"/>
  <c r="Z25" i="49"/>
  <c r="AA25" i="49" s="1"/>
  <c r="R122" i="49"/>
  <c r="S122" i="49" s="1"/>
  <c r="R39" i="49"/>
  <c r="S39" i="49" s="1"/>
  <c r="O65" i="49"/>
  <c r="P65" i="49" s="1"/>
  <c r="R65" i="49" s="1"/>
  <c r="S65" i="49" s="1"/>
  <c r="O38" i="49"/>
  <c r="P38" i="49" s="1"/>
  <c r="R38" i="49" s="1"/>
  <c r="S38" i="49" s="1"/>
  <c r="O132" i="49"/>
  <c r="P132" i="49" s="1"/>
  <c r="R46" i="49"/>
  <c r="S46" i="49" s="1"/>
  <c r="O47" i="49"/>
  <c r="P47" i="49" s="1"/>
  <c r="R47" i="49" s="1"/>
  <c r="S47" i="49" s="1"/>
  <c r="R55" i="49"/>
  <c r="S55" i="49" s="1"/>
  <c r="W131" i="49"/>
  <c r="Y131" i="49" s="1"/>
  <c r="Z131" i="49" s="1"/>
  <c r="AA131" i="49" s="1"/>
  <c r="Z17" i="49"/>
  <c r="AA17" i="49" s="1"/>
  <c r="Z122" i="49"/>
  <c r="AA122" i="49" s="1"/>
  <c r="O18" i="49"/>
  <c r="P18" i="49" s="1"/>
  <c r="R18" i="49" s="1"/>
  <c r="S18" i="49" s="1"/>
  <c r="O17" i="49"/>
  <c r="P17" i="49" s="1"/>
  <c r="Z127" i="49"/>
  <c r="AA127" i="49" s="1"/>
  <c r="Z52" i="49"/>
  <c r="AA52" i="49" s="1"/>
  <c r="R87" i="49"/>
  <c r="S87" i="49" s="1"/>
  <c r="O127" i="49"/>
  <c r="P127" i="49" s="1"/>
  <c r="R127" i="49" s="1"/>
  <c r="S127" i="49" s="1"/>
  <c r="V48" i="49"/>
  <c r="X48" i="49" s="1"/>
  <c r="Z48" i="49" s="1"/>
  <c r="AA48" i="49" s="1"/>
  <c r="Z112" i="49"/>
  <c r="AA112" i="49" s="1"/>
  <c r="W41" i="49"/>
  <c r="Y41" i="49" s="1"/>
  <c r="Z41" i="49" s="1"/>
  <c r="AA41" i="49" s="1"/>
  <c r="W30" i="49"/>
  <c r="Y30" i="49" s="1"/>
  <c r="Z30" i="49" s="1"/>
  <c r="AA30" i="49" s="1"/>
  <c r="R45" i="49"/>
  <c r="S45" i="49" s="1"/>
  <c r="Z36" i="49"/>
  <c r="AA36" i="49" s="1"/>
  <c r="W63" i="49"/>
  <c r="Y63" i="49" s="1"/>
  <c r="Z63" i="49" s="1"/>
  <c r="AA63" i="49" s="1"/>
  <c r="O131" i="49"/>
  <c r="P131" i="49" s="1"/>
  <c r="R131" i="49" s="1"/>
  <c r="S131" i="49" s="1"/>
  <c r="V56" i="49"/>
  <c r="X56" i="49" s="1"/>
  <c r="Z56" i="49" s="1"/>
  <c r="AA56" i="49" s="1"/>
  <c r="W104" i="49"/>
  <c r="Y104" i="49" s="1"/>
  <c r="Z104" i="49" s="1"/>
  <c r="AA104" i="49" s="1"/>
  <c r="O31" i="49"/>
  <c r="P31" i="49" s="1"/>
  <c r="R103" i="49"/>
  <c r="S103" i="49" s="1"/>
  <c r="R41" i="49"/>
  <c r="S41" i="49" s="1"/>
  <c r="R31" i="49"/>
  <c r="S31" i="49" s="1"/>
  <c r="R19" i="49"/>
  <c r="S19" i="49" s="1"/>
  <c r="Z114" i="49"/>
  <c r="AA114" i="49" s="1"/>
  <c r="R37" i="49"/>
  <c r="S37" i="49" s="1"/>
  <c r="R118" i="49"/>
  <c r="S118" i="49" s="1"/>
  <c r="R83" i="49"/>
  <c r="S83" i="49" s="1"/>
  <c r="R40" i="49"/>
  <c r="S40" i="49" s="1"/>
  <c r="O123" i="49"/>
  <c r="P123" i="49" s="1"/>
  <c r="V49" i="49"/>
  <c r="X49" i="49" s="1"/>
  <c r="Z49" i="49" s="1"/>
  <c r="AA49" i="49" s="1"/>
  <c r="O43" i="49"/>
  <c r="P43" i="49" s="1"/>
  <c r="R43" i="49" s="1"/>
  <c r="S43" i="49" s="1"/>
  <c r="O135" i="49"/>
  <c r="P135" i="49" s="1"/>
  <c r="O41" i="49"/>
  <c r="P41" i="49" s="1"/>
  <c r="O114" i="49"/>
  <c r="P114" i="49" s="1"/>
  <c r="W55" i="49"/>
  <c r="Y55" i="49" s="1"/>
  <c r="Z55" i="49" s="1"/>
  <c r="AA55" i="49" s="1"/>
  <c r="R104" i="49"/>
  <c r="S104" i="49" s="1"/>
  <c r="Z125" i="49"/>
  <c r="AA125" i="49" s="1"/>
  <c r="V121" i="49"/>
  <c r="X121" i="49" s="1"/>
  <c r="Z121" i="49" s="1"/>
  <c r="AA121" i="49" s="1"/>
  <c r="O90" i="49"/>
  <c r="P90" i="49" s="1"/>
  <c r="R112" i="49"/>
  <c r="S112" i="49" s="1"/>
  <c r="O126" i="49"/>
  <c r="P126" i="49" s="1"/>
  <c r="O36" i="49"/>
  <c r="P36" i="49" s="1"/>
  <c r="V67" i="49"/>
  <c r="X67" i="49" s="1"/>
  <c r="Z67" i="49" s="1"/>
  <c r="AA67" i="49" s="1"/>
  <c r="Z130" i="49"/>
  <c r="AA130" i="49" s="1"/>
  <c r="O37" i="49"/>
  <c r="P37" i="49" s="1"/>
  <c r="O39" i="49"/>
  <c r="P39" i="49" s="1"/>
  <c r="O130" i="49"/>
  <c r="P130" i="49" s="1"/>
  <c r="R130" i="49" s="1"/>
  <c r="S130" i="49" s="1"/>
  <c r="R135" i="49"/>
  <c r="S135" i="49" s="1"/>
  <c r="R71" i="49"/>
  <c r="S71" i="49" s="1"/>
  <c r="V46" i="49"/>
  <c r="X46" i="49" s="1"/>
  <c r="Z46" i="49" s="1"/>
  <c r="AA46" i="49" s="1"/>
  <c r="R133" i="49"/>
  <c r="S133" i="49" s="1"/>
  <c r="O108" i="49"/>
  <c r="P108" i="49" s="1"/>
  <c r="R108" i="49" s="1"/>
  <c r="S108" i="49" s="1"/>
  <c r="R114" i="49"/>
  <c r="S114" i="49" s="1"/>
  <c r="R54" i="49"/>
  <c r="S54" i="49" s="1"/>
  <c r="R72" i="49"/>
  <c r="S72" i="49" s="1"/>
  <c r="R132" i="49"/>
  <c r="S132" i="49" s="1"/>
  <c r="O49" i="49"/>
  <c r="P49" i="49" s="1"/>
  <c r="R49" i="49" s="1"/>
  <c r="S49" i="49" s="1"/>
  <c r="O103" i="49"/>
  <c r="P103" i="49" s="1"/>
  <c r="W103" i="49"/>
  <c r="Y103" i="49" s="1"/>
  <c r="O83" i="49"/>
  <c r="P83" i="49" s="1"/>
  <c r="R107" i="49"/>
  <c r="S107" i="49" s="1"/>
  <c r="O15" i="49"/>
  <c r="P15" i="49" s="1"/>
  <c r="O133" i="49"/>
  <c r="P133" i="49" s="1"/>
  <c r="R30" i="49"/>
  <c r="S30" i="49" s="1"/>
  <c r="R17" i="49"/>
  <c r="S17" i="49" s="1"/>
  <c r="Z31" i="49"/>
  <c r="AA31" i="49" s="1"/>
  <c r="Z98" i="49"/>
  <c r="AA98" i="49" s="1"/>
  <c r="R76" i="49"/>
  <c r="S76" i="49" s="1"/>
  <c r="R100" i="49"/>
  <c r="S100" i="49" s="1"/>
  <c r="O54" i="49"/>
  <c r="P54" i="49" s="1"/>
  <c r="R80" i="49"/>
  <c r="S80" i="49" s="1"/>
  <c r="R52" i="49"/>
  <c r="S52" i="49" s="1"/>
  <c r="R102" i="49"/>
  <c r="S102" i="49" s="1"/>
  <c r="Z109" i="49"/>
  <c r="AA109" i="49" s="1"/>
  <c r="R121" i="49"/>
  <c r="S121" i="49" s="1"/>
  <c r="O50" i="49"/>
  <c r="P50" i="49" s="1"/>
  <c r="R50" i="49" s="1"/>
  <c r="S50" i="49" s="1"/>
  <c r="O71" i="49"/>
  <c r="P71" i="49" s="1"/>
  <c r="R97" i="49"/>
  <c r="S97" i="49" s="1"/>
  <c r="O96" i="49"/>
  <c r="P96" i="49" s="1"/>
  <c r="R96" i="49" s="1"/>
  <c r="S96" i="49" s="1"/>
  <c r="O101" i="49"/>
  <c r="P101" i="49" s="1"/>
  <c r="R101" i="49" s="1"/>
  <c r="S101" i="49" s="1"/>
  <c r="R69" i="49"/>
  <c r="S69" i="49" s="1"/>
  <c r="R99" i="49"/>
  <c r="S99" i="49" s="1"/>
  <c r="O25" i="49"/>
  <c r="P25" i="49" s="1"/>
  <c r="R25" i="49" s="1"/>
  <c r="S25" i="49" s="1"/>
  <c r="O70" i="49"/>
  <c r="P70" i="49" s="1"/>
  <c r="R70" i="49" s="1"/>
  <c r="S70" i="49" s="1"/>
  <c r="R56" i="49"/>
  <c r="S56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Morela porro</author>
  </authors>
  <commentList>
    <comment ref="K3" authorId="0" shapeId="0" xr:uid="{57274A09-927E-49E9-B372-CDA92317207A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Separacion</t>
        </r>
      </text>
    </comment>
    <comment ref="K4" authorId="0" shapeId="0" xr:uid="{7278F0C8-F500-4569-ACAB-722E6C7396AC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Base</t>
        </r>
      </text>
    </comment>
    <comment ref="K5" authorId="0" shapeId="0" xr:uid="{3AF76668-9353-4C99-A3F1-0D46B50408F6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Largo</t>
        </r>
      </text>
    </comment>
    <comment ref="K6" authorId="0" shapeId="0" xr:uid="{D47CCEE4-9C8E-4209-9D39-F11FBE98BD3C}">
      <text>
        <r>
          <rPr>
            <b/>
            <sz val="8"/>
            <color indexed="81"/>
            <rFont val="Tahoma"/>
            <family val="2"/>
          </rPr>
          <t>Ing. Morela porro:</t>
        </r>
        <r>
          <rPr>
            <sz val="8"/>
            <color indexed="81"/>
            <rFont val="Tahoma"/>
            <family val="2"/>
          </rPr>
          <t xml:space="preserve">
Alto</t>
        </r>
      </text>
    </comment>
  </commentList>
</comments>
</file>

<file path=xl/sharedStrings.xml><?xml version="1.0" encoding="utf-8"?>
<sst xmlns="http://schemas.openxmlformats.org/spreadsheetml/2006/main" count="959" uniqueCount="150">
  <si>
    <t xml:space="preserve">   Proyecto:</t>
  </si>
  <si>
    <t>Pag.</t>
  </si>
  <si>
    <t>INGENIERO CIVIL</t>
  </si>
  <si>
    <t xml:space="preserve">   Fecha :</t>
  </si>
  <si>
    <t xml:space="preserve">   Desc. :</t>
  </si>
  <si>
    <t>Cuantificación de Cargas</t>
  </si>
  <si>
    <t>Cuantificación de Sobre Carga</t>
  </si>
  <si>
    <t>ENTREPISO</t>
  </si>
  <si>
    <t xml:space="preserve">  Carga Muerta</t>
  </si>
  <si>
    <t>h (m)</t>
  </si>
  <si>
    <t>w [ton/m²]</t>
  </si>
  <si>
    <t xml:space="preserve">     Mosaicos</t>
  </si>
  <si>
    <t xml:space="preserve">     Mortero</t>
  </si>
  <si>
    <t xml:space="preserve">     Pañete </t>
  </si>
  <si>
    <t>ton/m²</t>
  </si>
  <si>
    <t xml:space="preserve">  Carga Viva</t>
  </si>
  <si>
    <t xml:space="preserve">     Entrepiso</t>
  </si>
  <si>
    <t>ql =</t>
  </si>
  <si>
    <t xml:space="preserve">     Balcones y Escalera</t>
  </si>
  <si>
    <t>Descripción</t>
  </si>
  <si>
    <t>qd[ton/m²]</t>
  </si>
  <si>
    <t>ql[ton/m²]</t>
  </si>
  <si>
    <t>qu[ton/m²]</t>
  </si>
  <si>
    <t>Interior (h=0.12)</t>
  </si>
  <si>
    <t>Interior (h=0.14)</t>
  </si>
  <si>
    <t>Interior (h=0.12)s/pand</t>
  </si>
  <si>
    <t>TECHO</t>
  </si>
  <si>
    <t xml:space="preserve">     Fino</t>
  </si>
  <si>
    <t xml:space="preserve">     Impermeabilizante</t>
  </si>
  <si>
    <t xml:space="preserve">     Techo Plano</t>
  </si>
  <si>
    <t>Techo (h=0.12)</t>
  </si>
  <si>
    <t>qd (ton/m²)</t>
  </si>
  <si>
    <t>Losa de 12</t>
  </si>
  <si>
    <t>Losa de 13</t>
  </si>
  <si>
    <t>Losa de 14</t>
  </si>
  <si>
    <t>Losa de 15</t>
  </si>
  <si>
    <t>Losa de 16</t>
  </si>
  <si>
    <t>Losa de 17</t>
  </si>
  <si>
    <t>Losa de 18</t>
  </si>
  <si>
    <t>Losa de 19</t>
  </si>
  <si>
    <t>Losa de 20</t>
  </si>
  <si>
    <t>Pesos Propios</t>
  </si>
  <si>
    <t>Fy =</t>
  </si>
  <si>
    <r>
      <t>Kg/cm</t>
    </r>
    <r>
      <rPr>
        <sz val="10"/>
        <rFont val="Arial"/>
        <family val="2"/>
      </rPr>
      <t>²</t>
    </r>
  </si>
  <si>
    <t>LOSA</t>
  </si>
  <si>
    <t>Lx</t>
  </si>
  <si>
    <t>Ly</t>
  </si>
  <si>
    <t>Cond.</t>
  </si>
  <si>
    <t>K</t>
  </si>
  <si>
    <t>Ln</t>
  </si>
  <si>
    <t>b</t>
  </si>
  <si>
    <t>h [cm]</t>
  </si>
  <si>
    <t>Usar h =</t>
  </si>
  <si>
    <t>Cant. de Losas:</t>
  </si>
  <si>
    <t>Lx                (m)</t>
  </si>
  <si>
    <t>Ly                (m)</t>
  </si>
  <si>
    <t>Q mamp    (Ton)</t>
  </si>
  <si>
    <t>Espesor (m)</t>
  </si>
  <si>
    <t>S</t>
  </si>
  <si>
    <t>D</t>
  </si>
  <si>
    <t>L</t>
  </si>
  <si>
    <t>Losa</t>
  </si>
  <si>
    <t>Coloc</t>
  </si>
  <si>
    <r>
      <t>Ø</t>
    </r>
    <r>
      <rPr>
        <b/>
        <sz val="10"/>
        <rFont val="Arial"/>
        <family val="2"/>
      </rPr>
      <t xml:space="preserve">1" </t>
    </r>
  </si>
  <si>
    <r>
      <t>Ø</t>
    </r>
    <r>
      <rPr>
        <b/>
        <sz val="10"/>
        <rFont val="Arial"/>
        <family val="2"/>
      </rPr>
      <t xml:space="preserve">3/4" </t>
    </r>
  </si>
  <si>
    <r>
      <t xml:space="preserve"> Ø</t>
    </r>
    <r>
      <rPr>
        <b/>
        <sz val="10"/>
        <rFont val="Arial"/>
        <family val="2"/>
      </rPr>
      <t xml:space="preserve">1/2" </t>
    </r>
  </si>
  <si>
    <r>
      <t>Ø</t>
    </r>
    <r>
      <rPr>
        <b/>
        <sz val="10"/>
        <rFont val="Arial"/>
        <family val="2"/>
      </rPr>
      <t>3/8"</t>
    </r>
  </si>
  <si>
    <t>CALCULO DE ESPESOR DE LOSAS</t>
  </si>
  <si>
    <t>Geometria de Vigas</t>
  </si>
  <si>
    <t>Calidad de Refuerzo</t>
  </si>
  <si>
    <t>b [cm] =</t>
  </si>
  <si>
    <r>
      <t>Kg/cm</t>
    </r>
    <r>
      <rPr>
        <sz val="10"/>
        <rFont val="Arial"/>
        <family val="2"/>
      </rPr>
      <t>²</t>
    </r>
  </si>
  <si>
    <t>h [cm] =</t>
  </si>
  <si>
    <t>H (usado)</t>
  </si>
  <si>
    <t>Cant x-x</t>
  </si>
  <si>
    <t>Cant y-y</t>
  </si>
  <si>
    <t>total</t>
  </si>
  <si>
    <t>Vb</t>
  </si>
  <si>
    <t>Vt</t>
  </si>
  <si>
    <t>Vc</t>
  </si>
  <si>
    <t>H eq.</t>
  </si>
  <si>
    <t>Iv x-x</t>
  </si>
  <si>
    <t>Iv y-y</t>
  </si>
  <si>
    <t>IL x-x</t>
  </si>
  <si>
    <t>IL y-y</t>
  </si>
  <si>
    <r>
      <t>a</t>
    </r>
    <r>
      <rPr>
        <i/>
        <sz val="10"/>
        <rFont val="Times New Roman"/>
        <family val="1"/>
      </rPr>
      <t xml:space="preserve"> x</t>
    </r>
  </si>
  <si>
    <r>
      <t>a</t>
    </r>
    <r>
      <rPr>
        <i/>
        <sz val="10"/>
        <rFont val="Times New Roman"/>
        <family val="1"/>
      </rPr>
      <t xml:space="preserve"> y</t>
    </r>
  </si>
  <si>
    <r>
      <t>a</t>
    </r>
    <r>
      <rPr>
        <i/>
        <sz val="10"/>
        <rFont val="Times New Roman"/>
        <family val="1"/>
      </rPr>
      <t xml:space="preserve"> m</t>
    </r>
  </si>
  <si>
    <t>H (chk)</t>
  </si>
  <si>
    <t>Acero en Aligerados</t>
  </si>
  <si>
    <t>Acero X</t>
  </si>
  <si>
    <t>Acero Y</t>
  </si>
  <si>
    <t>1.00 m</t>
  </si>
  <si>
    <t>Viga X</t>
  </si>
  <si>
    <t>Viga Y</t>
  </si>
  <si>
    <t>Espesor Eq. (m)</t>
  </si>
  <si>
    <t>Losa de 6</t>
  </si>
  <si>
    <t>Losa de 7</t>
  </si>
  <si>
    <t>Losa de 8</t>
  </si>
  <si>
    <t>Losa de 9</t>
  </si>
  <si>
    <t>Losa de 10</t>
  </si>
  <si>
    <t>Losa de 11</t>
  </si>
  <si>
    <t xml:space="preserve">CODIA: </t>
  </si>
  <si>
    <r>
      <t>Kg/cm</t>
    </r>
    <r>
      <rPr>
        <sz val="10"/>
        <rFont val="Stylus BT"/>
        <family val="2"/>
      </rPr>
      <t>²</t>
    </r>
  </si>
  <si>
    <r>
      <t>Area      (m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</si>
  <si>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Qmap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</si>
  <si>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muerta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</si>
  <si>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viva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</si>
  <si>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Q ultima     (Ton/m</t>
    </r>
    <r>
      <rPr>
        <i/>
        <vertAlign val="superscript"/>
        <sz val="10"/>
        <rFont val="Stylus BT"/>
        <family val="2"/>
      </rPr>
      <t>2</t>
    </r>
    <r>
      <rPr>
        <i/>
        <sz val="10"/>
        <rFont val="Stylus BT"/>
        <family val="2"/>
      </rPr>
      <t>)</t>
    </r>
  </si>
  <si>
    <r>
      <t>Area      (m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</si>
  <si>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Qmap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</si>
  <si>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muerta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</si>
  <si>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viva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</si>
  <si>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r>
      <t>Q ultima     (Ton/m</t>
    </r>
    <r>
      <rPr>
        <i/>
        <vertAlign val="superscript"/>
        <sz val="11"/>
        <rFont val="Stylus BT"/>
        <family val="2"/>
      </rPr>
      <t>2</t>
    </r>
    <r>
      <rPr>
        <i/>
        <sz val="11"/>
        <rFont val="Stylus BT"/>
        <family val="2"/>
      </rPr>
      <t>)</t>
    </r>
  </si>
  <si>
    <t>As</t>
  </si>
  <si>
    <t>As adic</t>
  </si>
  <si>
    <t>ø</t>
  </si>
  <si>
    <t>Asl-a</t>
  </si>
  <si>
    <t>Asl-b</t>
  </si>
  <si>
    <t>Calculo mamp</t>
  </si>
  <si>
    <t>h piso techo</t>
  </si>
  <si>
    <t>Toping</t>
  </si>
  <si>
    <t>Asx</t>
  </si>
  <si>
    <t>Asy</t>
  </si>
  <si>
    <t>Hb</t>
  </si>
  <si>
    <t>Ht</t>
  </si>
  <si>
    <t>Dimensiones Bovedillas 1D</t>
  </si>
  <si>
    <t>h=</t>
  </si>
  <si>
    <t>B=</t>
  </si>
  <si>
    <t>L=</t>
  </si>
  <si>
    <t>Dimensiones Bovedillas 2D</t>
  </si>
  <si>
    <t>S=</t>
  </si>
  <si>
    <t>d [ton/m³]</t>
  </si>
  <si>
    <t>qu= 1.2qd + 1.6ql</t>
  </si>
  <si>
    <t>ACI-318-05</t>
  </si>
  <si>
    <t>Cálculo espesor de losas</t>
  </si>
  <si>
    <t>Según ACI-318-08  Art. 9.5.2.1   (1 dirección)</t>
  </si>
  <si>
    <t>Según ACI-318-08  Art. 9.5.3.3    (2 direcciones)</t>
  </si>
  <si>
    <t>bw</t>
  </si>
  <si>
    <t>H</t>
  </si>
  <si>
    <t>Is</t>
  </si>
  <si>
    <t>B</t>
  </si>
  <si>
    <t>yt</t>
  </si>
  <si>
    <t>Ib</t>
  </si>
  <si>
    <t>α</t>
  </si>
  <si>
    <t>T</t>
  </si>
  <si>
    <t>αfm</t>
  </si>
  <si>
    <t>Proyecto Demo</t>
  </si>
  <si>
    <t>INGENIERO DEMO</t>
  </si>
  <si>
    <t>CODIA: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</si>
</sst>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.000"/>
    <numFmt numFmtId="165" formatCode="0.0000"/>
    <numFmt numFmtId="166" formatCode="_(* #,##0.0000_);_(* \(#,##0.0000\);_(* &quot;-&quot;??_);_(@_)"/>
    <numFmt numFmtId="167" formatCode="&quot;L&quot;0"/>
    <numFmt numFmtId="168" formatCode="0\ &quot;de Ѳ 1/2''&quot;"/>
  </numFmts>
  <fonts count="35" x14ac:knownFonts="1">
    <font>
      <sz val="10"/>
      <name val="Arial"/>
    </font>
    <font>
      <sz val="10"/>
      <name val="Arial"/>
      <family val="2"/>
    </font>
    <font>
      <sz val="10"/>
      <name val="Stylus BT"/>
      <family val="2"/>
    </font>
    <font>
      <b/>
      <sz val="10"/>
      <name val="Stylus BT"/>
      <family val="2"/>
    </font>
    <font>
      <b/>
      <sz val="8"/>
      <name val="Stylus BT"/>
      <family val="2"/>
    </font>
    <font>
      <i/>
      <sz val="10"/>
      <name val="Times New Roman"/>
      <family val="1"/>
    </font>
    <font>
      <b/>
      <i/>
      <sz val="10"/>
      <name val="Times New Roman"/>
      <family val="1"/>
    </font>
    <font>
      <i/>
      <sz val="12"/>
      <name val="Symbol"/>
      <family val="1"/>
      <charset val="2"/>
    </font>
    <font>
      <i/>
      <sz val="8"/>
      <name val="Times New Roman"/>
      <family val="1"/>
    </font>
    <font>
      <b/>
      <sz val="10"/>
      <name val="Arial"/>
      <family val="2"/>
    </font>
    <font>
      <i/>
      <sz val="10"/>
      <name val="Stylus BT"/>
      <family val="2"/>
    </font>
    <font>
      <b/>
      <sz val="10"/>
      <name val="Times New Roman"/>
      <family val="1"/>
    </font>
    <font>
      <i/>
      <sz val="14"/>
      <name val="Symbol"/>
      <family val="1"/>
      <charset val="2"/>
    </font>
    <font>
      <sz val="10"/>
      <name val="Arial"/>
      <family val="2"/>
    </font>
    <font>
      <b/>
      <sz val="11"/>
      <name val="Stylus BT"/>
      <family val="2"/>
    </font>
    <font>
      <b/>
      <i/>
      <sz val="10"/>
      <name val="Stylus BT"/>
      <family val="2"/>
    </font>
    <font>
      <i/>
      <vertAlign val="superscript"/>
      <sz val="10"/>
      <name val="Stylus BT"/>
      <family val="2"/>
    </font>
    <font>
      <i/>
      <sz val="9"/>
      <name val="Stylus BT"/>
      <family val="2"/>
    </font>
    <font>
      <b/>
      <i/>
      <sz val="11"/>
      <name val="Stylus BT"/>
      <family val="2"/>
    </font>
    <font>
      <i/>
      <sz val="11"/>
      <name val="Stylus BT"/>
      <family val="2"/>
    </font>
    <font>
      <i/>
      <sz val="11"/>
      <name val="Symbol"/>
      <family val="1"/>
      <charset val="2"/>
    </font>
    <font>
      <i/>
      <vertAlign val="superscript"/>
      <sz val="11"/>
      <name val="Stylus BT"/>
      <family val="2"/>
    </font>
    <font>
      <sz val="11"/>
      <name val="Stylus BT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i/>
      <sz val="11"/>
      <name val="Times New Roman"/>
      <family val="1"/>
    </font>
    <font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theme="0"/>
      <name val="Stylus BT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4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/>
  </cellStyleXfs>
  <cellXfs count="232">
    <xf numFmtId="0" fontId="0" fillId="0" borderId="0" xfId="0"/>
    <xf numFmtId="0" fontId="2" fillId="0" borderId="0" xfId="0" applyFont="1"/>
    <xf numFmtId="43" fontId="0" fillId="0" borderId="0" xfId="0" applyNumberFormat="1"/>
    <xf numFmtId="0" fontId="5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0" xfId="0" applyFont="1" applyAlignment="1">
      <alignment horizontal="left"/>
    </xf>
    <xf numFmtId="4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6" fillId="0" borderId="0" xfId="0" applyFont="1"/>
    <xf numFmtId="0" fontId="10" fillId="0" borderId="0" xfId="0" applyFont="1" applyAlignment="1">
      <alignment horizontal="right"/>
    </xf>
    <xf numFmtId="43" fontId="10" fillId="0" borderId="0" xfId="1" applyFont="1" applyAlignment="1">
      <alignment horizontal="center"/>
    </xf>
    <xf numFmtId="0" fontId="7" fillId="0" borderId="7" xfId="0" applyFont="1" applyBorder="1" applyAlignment="1">
      <alignment horizontal="center"/>
    </xf>
    <xf numFmtId="43" fontId="10" fillId="0" borderId="8" xfId="1" applyFont="1" applyBorder="1" applyAlignment="1">
      <alignment horizontal="center"/>
    </xf>
    <xf numFmtId="0" fontId="2" fillId="0" borderId="9" xfId="4" applyFont="1" applyBorder="1"/>
    <xf numFmtId="0" fontId="2" fillId="0" borderId="0" xfId="4" applyFont="1"/>
    <xf numFmtId="0" fontId="11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3" fontId="8" fillId="0" borderId="0" xfId="2" applyFont="1" applyAlignment="1">
      <alignment horizontal="center"/>
    </xf>
    <xf numFmtId="43" fontId="5" fillId="0" borderId="0" xfId="0" applyNumberFormat="1" applyFont="1"/>
    <xf numFmtId="43" fontId="5" fillId="2" borderId="0" xfId="0" applyNumberFormat="1" applyFont="1" applyFill="1"/>
    <xf numFmtId="166" fontId="5" fillId="0" borderId="0" xfId="0" applyNumberFormat="1" applyFont="1"/>
    <xf numFmtId="43" fontId="5" fillId="0" borderId="0" xfId="2" applyFont="1"/>
    <xf numFmtId="2" fontId="9" fillId="0" borderId="0" xfId="0" applyNumberFormat="1" applyFont="1"/>
    <xf numFmtId="0" fontId="9" fillId="0" borderId="0" xfId="0" applyFont="1"/>
    <xf numFmtId="41" fontId="1" fillId="0" borderId="0" xfId="4" applyNumberFormat="1" applyAlignment="1">
      <alignment horizontal="center"/>
    </xf>
    <xf numFmtId="41" fontId="1" fillId="0" borderId="8" xfId="4" applyNumberForma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2" xfId="4" applyFont="1" applyBorder="1"/>
    <xf numFmtId="0" fontId="11" fillId="0" borderId="11" xfId="4" quotePrefix="1" applyFont="1" applyBorder="1" applyAlignment="1">
      <alignment horizontal="center" vertical="center"/>
    </xf>
    <xf numFmtId="49" fontId="11" fillId="0" borderId="12" xfId="4" quotePrefix="1" applyNumberFormat="1" applyFont="1" applyBorder="1" applyAlignment="1">
      <alignment horizontal="center" vertical="center"/>
    </xf>
    <xf numFmtId="49" fontId="11" fillId="0" borderId="12" xfId="4" applyNumberFormat="1" applyFont="1" applyBorder="1" applyAlignment="1">
      <alignment horizontal="center" vertical="center"/>
    </xf>
    <xf numFmtId="49" fontId="11" fillId="0" borderId="9" xfId="4" quotePrefix="1" applyNumberFormat="1" applyFont="1" applyBorder="1" applyAlignment="1">
      <alignment horizontal="center" vertical="center"/>
    </xf>
    <xf numFmtId="165" fontId="5" fillId="0" borderId="0" xfId="0" applyNumberFormat="1" applyFont="1"/>
    <xf numFmtId="164" fontId="5" fillId="0" borderId="0" xfId="0" applyNumberFormat="1" applyFont="1"/>
    <xf numFmtId="0" fontId="4" fillId="0" borderId="13" xfId="0" applyFont="1" applyBorder="1"/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/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right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2" fillId="0" borderId="20" xfId="0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5" fillId="2" borderId="0" xfId="0" applyFont="1" applyFill="1"/>
    <xf numFmtId="0" fontId="15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43" fontId="10" fillId="0" borderId="0" xfId="0" applyNumberFormat="1" applyFont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43" fontId="2" fillId="0" borderId="0" xfId="0" applyNumberFormat="1" applyFont="1"/>
    <xf numFmtId="43" fontId="10" fillId="3" borderId="0" xfId="1" applyFont="1" applyFill="1" applyAlignment="1">
      <alignment horizontal="center"/>
    </xf>
    <xf numFmtId="0" fontId="3" fillId="0" borderId="25" xfId="0" applyFont="1" applyBorder="1" applyAlignment="1">
      <alignment horizontal="right" vertical="center"/>
    </xf>
    <xf numFmtId="0" fontId="2" fillId="0" borderId="8" xfId="4" applyFont="1" applyBorder="1"/>
    <xf numFmtId="0" fontId="6" fillId="2" borderId="0" xfId="0" applyFont="1" applyFill="1" applyProtection="1">
      <protection locked="0"/>
    </xf>
    <xf numFmtId="43" fontId="30" fillId="4" borderId="0" xfId="0" applyNumberFormat="1" applyFont="1" applyFill="1" applyProtection="1">
      <protection locked="0" hidden="1"/>
    </xf>
    <xf numFmtId="43" fontId="17" fillId="3" borderId="0" xfId="1" applyFont="1" applyFill="1" applyAlignment="1">
      <alignment horizontal="center"/>
    </xf>
    <xf numFmtId="0" fontId="3" fillId="0" borderId="15" xfId="0" applyFont="1" applyBorder="1" applyAlignment="1" applyProtection="1">
      <alignment horizontal="left" vertical="center"/>
      <protection locked="0"/>
    </xf>
    <xf numFmtId="0" fontId="18" fillId="0" borderId="2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2" fillId="0" borderId="0" xfId="0" applyFont="1"/>
    <xf numFmtId="1" fontId="10" fillId="0" borderId="0" xfId="1" applyNumberFormat="1" applyFont="1" applyAlignment="1" applyProtection="1">
      <alignment horizontal="center"/>
      <protection locked="0" hidden="1"/>
    </xf>
    <xf numFmtId="12" fontId="5" fillId="0" borderId="0" xfId="0" applyNumberFormat="1" applyFont="1"/>
    <xf numFmtId="0" fontId="23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3" fontId="26" fillId="0" borderId="27" xfId="0" applyNumberFormat="1" applyFont="1" applyBorder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168" fontId="27" fillId="0" borderId="0" xfId="4" applyNumberFormat="1" applyFont="1" applyAlignment="1">
      <alignment horizontal="center" vertical="center"/>
    </xf>
    <xf numFmtId="43" fontId="26" fillId="0" borderId="0" xfId="0" applyNumberFormat="1" applyFont="1" applyAlignment="1">
      <alignment horizontal="center"/>
    </xf>
    <xf numFmtId="167" fontId="26" fillId="0" borderId="28" xfId="0" applyNumberFormat="1" applyFont="1" applyBorder="1" applyAlignment="1">
      <alignment horizontal="center" vertical="center"/>
    </xf>
    <xf numFmtId="167" fontId="26" fillId="0" borderId="27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5" fillId="0" borderId="28" xfId="0" applyFont="1" applyBorder="1"/>
    <xf numFmtId="43" fontId="5" fillId="2" borderId="32" xfId="0" applyNumberFormat="1" applyFont="1" applyFill="1" applyBorder="1"/>
    <xf numFmtId="2" fontId="9" fillId="0" borderId="33" xfId="0" applyNumberFormat="1" applyFont="1" applyBorder="1"/>
    <xf numFmtId="0" fontId="2" fillId="0" borderId="34" xfId="4" applyFont="1" applyBorder="1"/>
    <xf numFmtId="43" fontId="5" fillId="2" borderId="10" xfId="0" applyNumberFormat="1" applyFont="1" applyFill="1" applyBorder="1"/>
    <xf numFmtId="2" fontId="9" fillId="0" borderId="12" xfId="0" applyNumberFormat="1" applyFont="1" applyBorder="1"/>
    <xf numFmtId="41" fontId="1" fillId="0" borderId="33" xfId="4" applyNumberFormat="1" applyBorder="1" applyAlignment="1">
      <alignment horizontal="center"/>
    </xf>
    <xf numFmtId="41" fontId="1" fillId="0" borderId="34" xfId="4" applyNumberFormat="1" applyBorder="1" applyAlignment="1">
      <alignment horizontal="center"/>
    </xf>
    <xf numFmtId="41" fontId="1" fillId="0" borderId="12" xfId="4" applyNumberFormat="1" applyBorder="1" applyAlignment="1">
      <alignment horizontal="center"/>
    </xf>
    <xf numFmtId="41" fontId="1" fillId="0" borderId="9" xfId="4" applyNumberFormat="1" applyBorder="1" applyAlignment="1">
      <alignment horizontal="center"/>
    </xf>
    <xf numFmtId="43" fontId="5" fillId="2" borderId="11" xfId="0" applyNumberFormat="1" applyFont="1" applyFill="1" applyBorder="1"/>
    <xf numFmtId="0" fontId="5" fillId="0" borderId="32" xfId="0" applyFont="1" applyBorder="1"/>
    <xf numFmtId="0" fontId="31" fillId="5" borderId="33" xfId="0" applyFont="1" applyFill="1" applyBorder="1"/>
    <xf numFmtId="14" fontId="31" fillId="5" borderId="0" xfId="0" applyNumberFormat="1" applyFont="1" applyFill="1" applyAlignment="1">
      <alignment vertical="center"/>
    </xf>
    <xf numFmtId="0" fontId="31" fillId="0" borderId="0" xfId="0" applyFont="1"/>
    <xf numFmtId="0" fontId="32" fillId="0" borderId="32" xfId="0" applyFont="1" applyBorder="1"/>
    <xf numFmtId="0" fontId="32" fillId="0" borderId="33" xfId="0" applyFont="1" applyBorder="1"/>
    <xf numFmtId="0" fontId="31" fillId="0" borderId="33" xfId="0" applyFont="1" applyBorder="1"/>
    <xf numFmtId="0" fontId="32" fillId="0" borderId="34" xfId="0" applyFont="1" applyBorder="1"/>
    <xf numFmtId="0" fontId="32" fillId="0" borderId="0" xfId="0" applyFont="1"/>
    <xf numFmtId="0" fontId="32" fillId="0" borderId="10" xfId="0" applyFont="1" applyBorder="1"/>
    <xf numFmtId="0" fontId="32" fillId="0" borderId="8" xfId="0" applyFont="1" applyBorder="1"/>
    <xf numFmtId="0" fontId="32" fillId="0" borderId="0" xfId="0" applyFont="1" applyAlignment="1">
      <alignment horizontal="center"/>
    </xf>
    <xf numFmtId="0" fontId="31" fillId="0" borderId="10" xfId="0" applyFont="1" applyBorder="1"/>
    <xf numFmtId="43" fontId="31" fillId="0" borderId="0" xfId="1" applyFont="1" applyFill="1" applyBorder="1"/>
    <xf numFmtId="0" fontId="31" fillId="0" borderId="0" xfId="1" applyNumberFormat="1" applyFont="1" applyFill="1" applyBorder="1"/>
    <xf numFmtId="0" fontId="31" fillId="0" borderId="8" xfId="0" applyFont="1" applyBorder="1"/>
    <xf numFmtId="43" fontId="31" fillId="0" borderId="0" xfId="0" applyNumberFormat="1" applyFont="1"/>
    <xf numFmtId="0" fontId="32" fillId="0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3" fontId="31" fillId="0" borderId="0" xfId="1" applyFont="1" applyFill="1" applyBorder="1" applyAlignment="1">
      <alignment horizontal="center" vertical="center"/>
    </xf>
    <xf numFmtId="43" fontId="32" fillId="0" borderId="0" xfId="1" applyFont="1" applyFill="1" applyBorder="1" applyAlignment="1">
      <alignment horizontal="center" vertical="center"/>
    </xf>
    <xf numFmtId="0" fontId="31" fillId="0" borderId="0" xfId="1" applyNumberFormat="1" applyFont="1" applyFill="1" applyBorder="1" applyAlignment="1">
      <alignment horizontal="center" vertical="center"/>
    </xf>
    <xf numFmtId="0" fontId="31" fillId="0" borderId="0" xfId="1" applyNumberFormat="1" applyFont="1" applyFill="1" applyBorder="1" applyAlignment="1">
      <alignment horizontal="center"/>
    </xf>
    <xf numFmtId="0" fontId="31" fillId="0" borderId="11" xfId="0" applyFont="1" applyBorder="1"/>
    <xf numFmtId="0" fontId="31" fillId="0" borderId="12" xfId="1" applyNumberFormat="1" applyFont="1" applyFill="1" applyBorder="1" applyAlignment="1">
      <alignment horizontal="center"/>
    </xf>
    <xf numFmtId="43" fontId="31" fillId="0" borderId="12" xfId="1" applyFont="1" applyFill="1" applyBorder="1"/>
    <xf numFmtId="0" fontId="31" fillId="0" borderId="12" xfId="0" applyFont="1" applyBorder="1"/>
    <xf numFmtId="0" fontId="31" fillId="0" borderId="9" xfId="0" applyFont="1" applyBorder="1"/>
    <xf numFmtId="14" fontId="31" fillId="0" borderId="0" xfId="0" applyNumberFormat="1" applyFont="1"/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1" fillId="0" borderId="0" xfId="0" applyNumberFormat="1" applyFont="1" applyAlignment="1">
      <alignment vertical="center"/>
    </xf>
    <xf numFmtId="0" fontId="32" fillId="0" borderId="0" xfId="1" applyNumberFormat="1" applyFont="1" applyFill="1" applyBorder="1" applyAlignment="1">
      <alignment horizontal="left" vertical="center"/>
    </xf>
    <xf numFmtId="0" fontId="34" fillId="0" borderId="0" xfId="1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center"/>
    </xf>
    <xf numFmtId="0" fontId="19" fillId="0" borderId="28" xfId="0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28" xfId="0" applyNumberFormat="1" applyBorder="1" applyAlignment="1">
      <alignment horizontal="center" vertical="center"/>
    </xf>
    <xf numFmtId="0" fontId="1" fillId="0" borderId="0" xfId="0" applyFont="1"/>
    <xf numFmtId="43" fontId="0" fillId="0" borderId="28" xfId="0" applyNumberFormat="1" applyBorder="1"/>
    <xf numFmtId="2" fontId="0" fillId="0" borderId="28" xfId="0" applyNumberFormat="1" applyBorder="1"/>
    <xf numFmtId="11" fontId="0" fillId="0" borderId="28" xfId="0" applyNumberFormat="1" applyBorder="1" applyAlignment="1">
      <alignment horizontal="center"/>
    </xf>
    <xf numFmtId="43" fontId="30" fillId="0" borderId="0" xfId="0" applyNumberFormat="1" applyFont="1" applyProtection="1">
      <protection locked="0" hidden="1"/>
    </xf>
    <xf numFmtId="2" fontId="2" fillId="2" borderId="28" xfId="0" applyNumberFormat="1" applyFont="1" applyFill="1" applyBorder="1" applyAlignment="1" applyProtection="1">
      <alignment horizontal="center" vertical="center"/>
      <protection locked="0"/>
    </xf>
    <xf numFmtId="41" fontId="27" fillId="0" borderId="27" xfId="4" applyNumberFormat="1" applyFont="1" applyBorder="1" applyAlignment="1">
      <alignment horizontal="center" vertical="center"/>
    </xf>
    <xf numFmtId="43" fontId="5" fillId="2" borderId="0" xfId="0" applyNumberFormat="1" applyFont="1" applyFill="1" applyAlignment="1">
      <alignment horizontal="center"/>
    </xf>
    <xf numFmtId="2" fontId="10" fillId="0" borderId="0" xfId="1" applyNumberFormat="1" applyFont="1" applyAlignment="1" applyProtection="1">
      <alignment horizontal="center"/>
      <protection locked="0" hidden="1"/>
    </xf>
    <xf numFmtId="2" fontId="10" fillId="0" borderId="8" xfId="1" applyNumberFormat="1" applyFont="1" applyBorder="1" applyAlignment="1" applyProtection="1">
      <alignment horizontal="center"/>
      <protection locked="0" hidden="1"/>
    </xf>
    <xf numFmtId="2" fontId="10" fillId="0" borderId="0" xfId="0" applyNumberFormat="1" applyFont="1" applyAlignment="1" applyProtection="1">
      <alignment horizontal="right"/>
      <protection locked="0" hidden="1"/>
    </xf>
    <xf numFmtId="2" fontId="5" fillId="0" borderId="0" xfId="0" applyNumberFormat="1" applyFont="1"/>
    <xf numFmtId="0" fontId="5" fillId="6" borderId="0" xfId="0" applyFont="1" applyFill="1" applyAlignment="1">
      <alignment horizontal="center"/>
    </xf>
    <xf numFmtId="0" fontId="23" fillId="0" borderId="50" xfId="0" applyFont="1" applyBorder="1" applyAlignment="1">
      <alignment horizontal="center"/>
    </xf>
    <xf numFmtId="0" fontId="23" fillId="0" borderId="5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0" fillId="7" borderId="52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wrapText="1"/>
    </xf>
    <xf numFmtId="0" fontId="32" fillId="0" borderId="3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33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0" fillId="0" borderId="37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" fillId="0" borderId="40" xfId="0" applyFont="1" applyBorder="1" applyAlignment="1" applyProtection="1">
      <alignment horizontal="center"/>
      <protection locked="0"/>
    </xf>
    <xf numFmtId="0" fontId="2" fillId="0" borderId="41" xfId="0" applyFont="1" applyBorder="1" applyAlignment="1" applyProtection="1">
      <alignment horizontal="center"/>
      <protection locked="0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3" fillId="0" borderId="43" xfId="0" applyFont="1" applyBorder="1" applyAlignment="1" applyProtection="1">
      <alignment horizontal="center"/>
      <protection locked="0"/>
    </xf>
    <xf numFmtId="14" fontId="2" fillId="0" borderId="45" xfId="0" applyNumberFormat="1" applyFont="1" applyBorder="1" applyAlignment="1" applyProtection="1">
      <alignment horizontal="center"/>
      <protection locked="0"/>
    </xf>
    <xf numFmtId="14" fontId="2" fillId="0" borderId="5" xfId="0" applyNumberFormat="1" applyFont="1" applyBorder="1" applyAlignment="1" applyProtection="1">
      <alignment horizontal="center"/>
      <protection locked="0"/>
    </xf>
    <xf numFmtId="14" fontId="2" fillId="0" borderId="46" xfId="0" applyNumberFormat="1" applyFont="1" applyBorder="1" applyAlignment="1" applyProtection="1">
      <alignment horizontal="center"/>
      <protection locked="0"/>
    </xf>
    <xf numFmtId="0" fontId="3" fillId="0" borderId="45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4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8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3" fillId="0" borderId="4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2" xfId="0" applyFont="1" applyBorder="1" applyAlignment="1">
      <alignment horizontal="right"/>
    </xf>
    <xf numFmtId="0" fontId="3" fillId="0" borderId="43" xfId="0" applyFont="1" applyBorder="1" applyAlignment="1">
      <alignment horizontal="right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46" xfId="0" applyNumberFormat="1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2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1" builtinId="3"/>
    <cellStyle name="Millares 2" xfId="2" xr:uid="{AB4E8ED9-9D29-4770-93C2-4345152DAD49}"/>
    <cellStyle name="Millares 3" xfId="3" xr:uid="{E4070697-7743-4BE6-B337-DE5E1078B478}"/>
    <cellStyle name="Normal" xfId="0" builtinId="0"/>
    <cellStyle name="Normal 2" xfId="4" xr:uid="{0B548DAE-71A9-4F10-A506-1510587751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19050</xdr:rowOff>
    </xdr:from>
    <xdr:to>
      <xdr:col>2</xdr:col>
      <xdr:colOff>495300</xdr:colOff>
      <xdr:row>3</xdr:row>
      <xdr:rowOff>161925</xdr:rowOff>
    </xdr:to>
    <xdr:pic>
      <xdr:nvPicPr>
        <xdr:cNvPr id="1135" name="Picture 1" descr="Presentación1.jpeg">
          <a:extLst>
            <a:ext uri="{FF2B5EF4-FFF2-40B4-BE49-F238E27FC236}">
              <a16:creationId xmlns:a16="http://schemas.microsoft.com/office/drawing/2014/main" id="{30976FB1-7EFD-FC6A-1A14-AC9B22F1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6200"/>
          <a:ext cx="10001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41</xdr:row>
      <xdr:rowOff>19050</xdr:rowOff>
    </xdr:from>
    <xdr:to>
      <xdr:col>2</xdr:col>
      <xdr:colOff>495300</xdr:colOff>
      <xdr:row>43</xdr:row>
      <xdr:rowOff>161925</xdr:rowOff>
    </xdr:to>
    <xdr:pic>
      <xdr:nvPicPr>
        <xdr:cNvPr id="1136" name="Picture 3" descr="Presentación1.jpeg">
          <a:extLst>
            <a:ext uri="{FF2B5EF4-FFF2-40B4-BE49-F238E27FC236}">
              <a16:creationId xmlns:a16="http://schemas.microsoft.com/office/drawing/2014/main" id="{079BFAD7-BF4E-D988-C07F-08E201CA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8096250"/>
          <a:ext cx="10001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19050</xdr:rowOff>
    </xdr:from>
    <xdr:to>
      <xdr:col>2</xdr:col>
      <xdr:colOff>819150</xdr:colOff>
      <xdr:row>4</xdr:row>
      <xdr:rowOff>133350</xdr:rowOff>
    </xdr:to>
    <xdr:pic>
      <xdr:nvPicPr>
        <xdr:cNvPr id="3460240" name="Picture 1" descr="Presentación1.jpeg">
          <a:extLst>
            <a:ext uri="{FF2B5EF4-FFF2-40B4-BE49-F238E27FC236}">
              <a16:creationId xmlns:a16="http://schemas.microsoft.com/office/drawing/2014/main" id="{139940A6-7169-013E-95FD-37893095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76200"/>
          <a:ext cx="13239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28575</xdr:colOff>
      <xdr:row>9</xdr:row>
      <xdr:rowOff>123825</xdr:rowOff>
    </xdr:from>
    <xdr:to>
      <xdr:col>2</xdr:col>
      <xdr:colOff>962025</xdr:colOff>
      <xdr:row>12</xdr:row>
      <xdr:rowOff>57150</xdr:rowOff>
    </xdr:to>
    <xdr:pic>
      <xdr:nvPicPr>
        <xdr:cNvPr id="3460241" name="Picture 3">
          <a:extLst>
            <a:ext uri="{FF2B5EF4-FFF2-40B4-BE49-F238E27FC236}">
              <a16:creationId xmlns:a16="http://schemas.microsoft.com/office/drawing/2014/main" id="{29E1DB4E-02BB-E4DB-2615-D9ED43ABB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809750"/>
          <a:ext cx="933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514350</xdr:colOff>
      <xdr:row>38</xdr:row>
      <xdr:rowOff>123825</xdr:rowOff>
    </xdr:to>
    <xdr:pic>
      <xdr:nvPicPr>
        <xdr:cNvPr id="3460242" name="Picture 5">
          <a:extLst>
            <a:ext uri="{FF2B5EF4-FFF2-40B4-BE49-F238E27FC236}">
              <a16:creationId xmlns:a16="http://schemas.microsoft.com/office/drawing/2014/main" id="{B3E87359-D012-111D-BFDF-272499503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6886575"/>
          <a:ext cx="22574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1228725</xdr:colOff>
      <xdr:row>8</xdr:row>
      <xdr:rowOff>152400</xdr:rowOff>
    </xdr:from>
    <xdr:to>
      <xdr:col>7</xdr:col>
      <xdr:colOff>161925</xdr:colOff>
      <xdr:row>30</xdr:row>
      <xdr:rowOff>47625</xdr:rowOff>
    </xdr:to>
    <xdr:pic>
      <xdr:nvPicPr>
        <xdr:cNvPr id="3460243" name="Picture 6">
          <a:extLst>
            <a:ext uri="{FF2B5EF4-FFF2-40B4-BE49-F238E27FC236}">
              <a16:creationId xmlns:a16="http://schemas.microsoft.com/office/drawing/2014/main" id="{43D7335F-35D0-3630-F360-5FBC8020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5" t="8302" r="32335" b="35149"/>
        <a:stretch>
          <a:fillRect/>
        </a:stretch>
      </xdr:blipFill>
      <xdr:spPr bwMode="auto">
        <a:xfrm>
          <a:off x="2552700" y="1638300"/>
          <a:ext cx="454342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0</xdr:col>
      <xdr:colOff>962025</xdr:colOff>
      <xdr:row>3</xdr:row>
      <xdr:rowOff>219075</xdr:rowOff>
    </xdr:to>
    <xdr:pic>
      <xdr:nvPicPr>
        <xdr:cNvPr id="2113" name="Picture 1" descr="Presentación1.jpeg">
          <a:extLst>
            <a:ext uri="{FF2B5EF4-FFF2-40B4-BE49-F238E27FC236}">
              <a16:creationId xmlns:a16="http://schemas.microsoft.com/office/drawing/2014/main" id="{3116F3D2-72D5-A183-2A1B-8AA6AED2C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61505" name="Picture 1" descr="Presentación1.jpeg">
          <a:extLst>
            <a:ext uri="{FF2B5EF4-FFF2-40B4-BE49-F238E27FC236}">
              <a16:creationId xmlns:a16="http://schemas.microsoft.com/office/drawing/2014/main" id="{91C6DA65-4CA9-F563-BD17-FFABEF87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262525" name="Picture 2" descr="Presentación1.jpeg">
          <a:extLst>
            <a:ext uri="{FF2B5EF4-FFF2-40B4-BE49-F238E27FC236}">
              <a16:creationId xmlns:a16="http://schemas.microsoft.com/office/drawing/2014/main" id="{4A69B6B9-6A28-07E5-FB6D-504B0EE98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263549" name="Picture 1" descr="Presentación1.jpeg">
          <a:extLst>
            <a:ext uri="{FF2B5EF4-FFF2-40B4-BE49-F238E27FC236}">
              <a16:creationId xmlns:a16="http://schemas.microsoft.com/office/drawing/2014/main" id="{DE54FD34-7318-33CB-5CC2-C811DDE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322938" name="Picture 1" descr="Presentación1.jpeg">
          <a:extLst>
            <a:ext uri="{FF2B5EF4-FFF2-40B4-BE49-F238E27FC236}">
              <a16:creationId xmlns:a16="http://schemas.microsoft.com/office/drawing/2014/main" id="{151DF104-A741-7DAF-2CB8-EECDC212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962025</xdr:colOff>
      <xdr:row>3</xdr:row>
      <xdr:rowOff>200025</xdr:rowOff>
    </xdr:to>
    <xdr:pic>
      <xdr:nvPicPr>
        <xdr:cNvPr id="891965" name="Picture 1" descr="Presentación1.jpeg">
          <a:extLst>
            <a:ext uri="{FF2B5EF4-FFF2-40B4-BE49-F238E27FC236}">
              <a16:creationId xmlns:a16="http://schemas.microsoft.com/office/drawing/2014/main" id="{553677FD-CF85-F1E8-CA99-316AC520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962025</xdr:colOff>
      <xdr:row>3</xdr:row>
      <xdr:rowOff>209550</xdr:rowOff>
    </xdr:to>
    <xdr:pic>
      <xdr:nvPicPr>
        <xdr:cNvPr id="3133" name="Picture 1" descr="Presentación1.jpeg">
          <a:extLst>
            <a:ext uri="{FF2B5EF4-FFF2-40B4-BE49-F238E27FC236}">
              <a16:creationId xmlns:a16="http://schemas.microsoft.com/office/drawing/2014/main" id="{262912B3-0409-6BB0-F4F2-E53D75411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60477" name="Picture 1" descr="Presentación1.jpeg">
          <a:extLst>
            <a:ext uri="{FF2B5EF4-FFF2-40B4-BE49-F238E27FC236}">
              <a16:creationId xmlns:a16="http://schemas.microsoft.com/office/drawing/2014/main" id="{559C82E5-4F0B-682E-7397-7FD2A03F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264573" name="Picture 1" descr="Presentación1.jpeg">
          <a:extLst>
            <a:ext uri="{FF2B5EF4-FFF2-40B4-BE49-F238E27FC236}">
              <a16:creationId xmlns:a16="http://schemas.microsoft.com/office/drawing/2014/main" id="{C90A1D58-603F-F05F-B73D-D1830818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265597" name="Picture 1" descr="Presentación1.jpeg">
          <a:extLst>
            <a:ext uri="{FF2B5EF4-FFF2-40B4-BE49-F238E27FC236}">
              <a16:creationId xmlns:a16="http://schemas.microsoft.com/office/drawing/2014/main" id="{A01FCF62-930F-60C2-081A-446C6F74C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3323962" name="Picture 1" descr="Presentación1.jpeg">
          <a:extLst>
            <a:ext uri="{FF2B5EF4-FFF2-40B4-BE49-F238E27FC236}">
              <a16:creationId xmlns:a16="http://schemas.microsoft.com/office/drawing/2014/main" id="{D0A249AB-7689-B1E3-65B6-F4C89B38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47625</xdr:colOff>
      <xdr:row>3</xdr:row>
      <xdr:rowOff>200025</xdr:rowOff>
    </xdr:to>
    <xdr:pic>
      <xdr:nvPicPr>
        <xdr:cNvPr id="7229" name="Picture 1" descr="Presentación1.jpeg">
          <a:extLst>
            <a:ext uri="{FF2B5EF4-FFF2-40B4-BE49-F238E27FC236}">
              <a16:creationId xmlns:a16="http://schemas.microsoft.com/office/drawing/2014/main" id="{8A02A126-0545-779F-4B28-AE8B9301F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962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emoria%20de%20diseno/CARVAJAL%20POLANCO/Roaldi%20III/Archivos%20estructurales/Roaldi%20III.xls" TargetMode="External"/><Relationship Id="rId1" Type="http://schemas.openxmlformats.org/officeDocument/2006/relationships/externalLinkPath" Target="/Users/emilg/Memoria%20de%20diseno/CARVAJAL%20POLANCO/Roaldi%20III/Archivos%20estructurales/Roaldi%20II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gas"/>
      <sheetName val="Espesor E1"/>
      <sheetName val="Espesor E2"/>
      <sheetName val="Carga E1"/>
      <sheetName val="Carga E2"/>
      <sheetName val="Carga T"/>
      <sheetName val="Datos losa E1"/>
      <sheetName val="Datos losa E2"/>
      <sheetName val="Datos losa T"/>
      <sheetName val="Viga E1 V1"/>
      <sheetName val="Viga E1 V2"/>
      <sheetName val="Viga E1 V3"/>
      <sheetName val="Viga E1 V4"/>
      <sheetName val="Viga E1 V5"/>
      <sheetName val="Viga E2 V2"/>
      <sheetName val="Viga E2 V3"/>
      <sheetName val="Viga E2 V4"/>
      <sheetName val="Viga E2 V5"/>
      <sheetName val="Viga T V2"/>
      <sheetName val="Viga T V3"/>
      <sheetName val="VigaT V4"/>
      <sheetName val="Viga T V5"/>
      <sheetName val="Espesor Equivalente"/>
    </sheetNames>
    <sheetDataSet>
      <sheetData sheetId="0">
        <row r="26">
          <cell r="F26">
            <v>0.2</v>
          </cell>
        </row>
        <row r="52">
          <cell r="F52">
            <v>0.1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>
            <v>210</v>
          </cell>
          <cell r="G4">
            <v>4200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6582-777C-4B48-B022-8B2EA8F254D0}">
  <sheetPr codeName="Hoja1"/>
  <dimension ref="B1:S87"/>
  <sheetViews>
    <sheetView topLeftCell="A2" zoomScale="115" zoomScaleNormal="115" workbookViewId="0">
      <selection activeCell="G3" sqref="G3"/>
    </sheetView>
  </sheetViews>
  <sheetFormatPr defaultColWidth="11.42578125" defaultRowHeight="15.75" x14ac:dyDescent="0.25"/>
  <cols>
    <col min="1" max="1" width="11.42578125" style="118" customWidth="1"/>
    <col min="2" max="2" width="8.42578125" style="118" customWidth="1"/>
    <col min="3" max="3" width="26.140625" style="118" customWidth="1"/>
    <col min="4" max="4" width="14.28515625" style="118" customWidth="1"/>
    <col min="5" max="5" width="14.85546875" style="118" bestFit="1" customWidth="1"/>
    <col min="6" max="6" width="14.140625" style="118" bestFit="1" customWidth="1"/>
    <col min="7" max="7" width="14.7109375" style="118" customWidth="1"/>
    <col min="8" max="8" width="10.28515625" style="118" customWidth="1"/>
    <col min="9" max="9" width="6.42578125" style="118" customWidth="1"/>
    <col min="10" max="16" width="0" style="118" hidden="1" customWidth="1"/>
    <col min="17" max="16384" width="11.42578125" style="118"/>
  </cols>
  <sheetData>
    <row r="1" spans="2:13" ht="4.5" customHeight="1" thickBot="1" x14ac:dyDescent="0.3"/>
    <row r="2" spans="2:13" s="123" customFormat="1" ht="15.75" customHeight="1" x14ac:dyDescent="0.25">
      <c r="B2" s="119"/>
      <c r="C2" s="181" t="s">
        <v>148</v>
      </c>
      <c r="D2" s="181"/>
      <c r="E2" s="120" t="s">
        <v>0</v>
      </c>
      <c r="F2" s="120"/>
      <c r="G2" s="116" t="s">
        <v>147</v>
      </c>
      <c r="H2" s="122"/>
      <c r="I2" s="118"/>
    </row>
    <row r="3" spans="2:13" s="123" customFormat="1" ht="15.75" customHeight="1" x14ac:dyDescent="0.25">
      <c r="B3" s="124"/>
      <c r="C3" s="182" t="s">
        <v>2</v>
      </c>
      <c r="D3" s="182"/>
      <c r="E3" s="123" t="s">
        <v>3</v>
      </c>
      <c r="G3" s="117">
        <v>45904</v>
      </c>
      <c r="H3" s="125"/>
      <c r="I3" s="118"/>
    </row>
    <row r="4" spans="2:13" s="123" customFormat="1" ht="15.75" customHeight="1" x14ac:dyDescent="0.25">
      <c r="B4" s="124"/>
      <c r="D4" s="126" t="s">
        <v>149</v>
      </c>
      <c r="E4" s="123" t="s">
        <v>4</v>
      </c>
      <c r="G4" s="118" t="s">
        <v>5</v>
      </c>
      <c r="H4" s="125"/>
      <c r="I4" s="118"/>
    </row>
    <row r="5" spans="2:13" x14ac:dyDescent="0.25">
      <c r="B5" s="127"/>
      <c r="C5" s="128"/>
      <c r="D5" s="129"/>
      <c r="E5" s="128"/>
      <c r="F5" s="129"/>
      <c r="G5" s="129"/>
      <c r="H5" s="130"/>
      <c r="K5" s="131"/>
      <c r="M5" s="131"/>
    </row>
    <row r="6" spans="2:13" x14ac:dyDescent="0.25">
      <c r="B6" s="127"/>
      <c r="C6" s="129" t="s">
        <v>6</v>
      </c>
      <c r="D6" s="129"/>
      <c r="E6" s="129"/>
      <c r="F6" s="129"/>
      <c r="H6" s="130"/>
      <c r="K6" s="131"/>
      <c r="M6" s="131"/>
    </row>
    <row r="7" spans="2:13" x14ac:dyDescent="0.25">
      <c r="B7" s="127"/>
      <c r="C7" s="132" t="s">
        <v>7</v>
      </c>
      <c r="D7" s="129"/>
      <c r="E7" s="129"/>
      <c r="F7" s="129"/>
      <c r="H7" s="130"/>
      <c r="K7" s="131"/>
      <c r="M7" s="131"/>
    </row>
    <row r="8" spans="2:13" x14ac:dyDescent="0.25">
      <c r="B8" s="127"/>
      <c r="C8" s="132" t="s">
        <v>8</v>
      </c>
      <c r="D8" s="132" t="s">
        <v>9</v>
      </c>
      <c r="E8" s="132" t="s">
        <v>132</v>
      </c>
      <c r="F8" s="132" t="s">
        <v>10</v>
      </c>
      <c r="G8" s="133" t="s">
        <v>31</v>
      </c>
      <c r="H8" s="130"/>
      <c r="K8" s="131"/>
      <c r="M8" s="131"/>
    </row>
    <row r="9" spans="2:13" x14ac:dyDescent="0.25">
      <c r="B9" s="127"/>
      <c r="C9" s="132" t="s">
        <v>96</v>
      </c>
      <c r="D9" s="134">
        <v>5.9999999999999901E-2</v>
      </c>
      <c r="E9" s="134">
        <v>2.4</v>
      </c>
      <c r="F9" s="134">
        <f t="shared" ref="F9:F14" si="0">D9*E9</f>
        <v>0.14399999999999977</v>
      </c>
      <c r="G9" s="135">
        <f t="shared" ref="G9:G23" si="1">F9+$F$28+$F$26+$F$27</f>
        <v>0.32499999999999979</v>
      </c>
      <c r="H9" s="130"/>
      <c r="K9" s="131"/>
      <c r="M9" s="131"/>
    </row>
    <row r="10" spans="2:13" x14ac:dyDescent="0.25">
      <c r="B10" s="127"/>
      <c r="C10" s="132" t="s">
        <v>97</v>
      </c>
      <c r="D10" s="134">
        <v>7.0000000000000007E-2</v>
      </c>
      <c r="E10" s="134">
        <v>2.4</v>
      </c>
      <c r="F10" s="134">
        <f t="shared" si="0"/>
        <v>0.16800000000000001</v>
      </c>
      <c r="G10" s="135">
        <f t="shared" si="1"/>
        <v>0.34900000000000003</v>
      </c>
      <c r="H10" s="130"/>
      <c r="K10" s="131"/>
      <c r="M10" s="131"/>
    </row>
    <row r="11" spans="2:13" x14ac:dyDescent="0.25">
      <c r="B11" s="127"/>
      <c r="C11" s="132" t="s">
        <v>98</v>
      </c>
      <c r="D11" s="134">
        <v>0.08</v>
      </c>
      <c r="E11" s="134">
        <v>2.4</v>
      </c>
      <c r="F11" s="134">
        <f t="shared" si="0"/>
        <v>0.192</v>
      </c>
      <c r="G11" s="135">
        <f t="shared" si="1"/>
        <v>0.373</v>
      </c>
      <c r="H11" s="130"/>
      <c r="K11" s="131"/>
      <c r="M11" s="131"/>
    </row>
    <row r="12" spans="2:13" x14ac:dyDescent="0.25">
      <c r="B12" s="127"/>
      <c r="C12" s="132" t="s">
        <v>99</v>
      </c>
      <c r="D12" s="134">
        <v>0.09</v>
      </c>
      <c r="E12" s="134">
        <v>2.4</v>
      </c>
      <c r="F12" s="134">
        <f t="shared" si="0"/>
        <v>0.216</v>
      </c>
      <c r="G12" s="135">
        <f t="shared" si="1"/>
        <v>0.39700000000000002</v>
      </c>
      <c r="H12" s="130"/>
      <c r="K12" s="131"/>
      <c r="M12" s="131"/>
    </row>
    <row r="13" spans="2:13" x14ac:dyDescent="0.25">
      <c r="B13" s="127"/>
      <c r="C13" s="132" t="s">
        <v>100</v>
      </c>
      <c r="D13" s="134">
        <v>0.1</v>
      </c>
      <c r="E13" s="134">
        <v>2.4</v>
      </c>
      <c r="F13" s="134">
        <f t="shared" si="0"/>
        <v>0.24</v>
      </c>
      <c r="G13" s="135">
        <f t="shared" si="1"/>
        <v>0.42099999999999999</v>
      </c>
      <c r="H13" s="130"/>
      <c r="K13" s="131"/>
      <c r="M13" s="131"/>
    </row>
    <row r="14" spans="2:13" x14ac:dyDescent="0.25">
      <c r="B14" s="127"/>
      <c r="C14" s="132" t="s">
        <v>101</v>
      </c>
      <c r="D14" s="134">
        <v>0.11</v>
      </c>
      <c r="E14" s="134">
        <v>2.4</v>
      </c>
      <c r="F14" s="134">
        <f t="shared" si="0"/>
        <v>0.26400000000000001</v>
      </c>
      <c r="G14" s="135">
        <f t="shared" si="1"/>
        <v>0.44500000000000001</v>
      </c>
      <c r="H14" s="130"/>
      <c r="K14" s="131"/>
      <c r="M14" s="131"/>
    </row>
    <row r="15" spans="2:13" x14ac:dyDescent="0.25">
      <c r="B15" s="127"/>
      <c r="C15" s="132" t="s">
        <v>32</v>
      </c>
      <c r="D15" s="134">
        <v>0.12</v>
      </c>
      <c r="E15" s="134">
        <v>2.4</v>
      </c>
      <c r="F15" s="134">
        <f t="shared" ref="F15:F23" si="2">D15*E15</f>
        <v>0.28799999999999998</v>
      </c>
      <c r="G15" s="135">
        <f t="shared" si="1"/>
        <v>0.46899999999999997</v>
      </c>
      <c r="H15" s="130"/>
      <c r="K15" s="131"/>
      <c r="M15" s="131"/>
    </row>
    <row r="16" spans="2:13" x14ac:dyDescent="0.25">
      <c r="B16" s="127"/>
      <c r="C16" s="132" t="s">
        <v>33</v>
      </c>
      <c r="D16" s="134">
        <v>0.13</v>
      </c>
      <c r="E16" s="134">
        <v>2.4</v>
      </c>
      <c r="F16" s="134">
        <f t="shared" si="2"/>
        <v>0.312</v>
      </c>
      <c r="G16" s="135">
        <f t="shared" si="1"/>
        <v>0.49299999999999999</v>
      </c>
      <c r="H16" s="130"/>
      <c r="K16" s="131"/>
      <c r="M16" s="131"/>
    </row>
    <row r="17" spans="2:18" x14ac:dyDescent="0.25">
      <c r="B17" s="127"/>
      <c r="C17" s="132" t="s">
        <v>34</v>
      </c>
      <c r="D17" s="134">
        <v>0.14000000000000001</v>
      </c>
      <c r="E17" s="134">
        <v>2.4</v>
      </c>
      <c r="F17" s="134">
        <f t="shared" si="2"/>
        <v>0.33600000000000002</v>
      </c>
      <c r="G17" s="135">
        <f t="shared" si="1"/>
        <v>0.51700000000000002</v>
      </c>
      <c r="H17" s="130"/>
      <c r="K17" s="131"/>
      <c r="M17" s="131"/>
      <c r="R17" s="131"/>
    </row>
    <row r="18" spans="2:18" x14ac:dyDescent="0.25">
      <c r="B18" s="127"/>
      <c r="C18" s="132" t="s">
        <v>35</v>
      </c>
      <c r="D18" s="134">
        <v>0.15</v>
      </c>
      <c r="E18" s="134">
        <v>2.4</v>
      </c>
      <c r="F18" s="134">
        <f t="shared" si="2"/>
        <v>0.36</v>
      </c>
      <c r="G18" s="135">
        <f t="shared" si="1"/>
        <v>0.54099999999999993</v>
      </c>
      <c r="H18" s="130"/>
      <c r="K18" s="131"/>
      <c r="M18" s="131"/>
      <c r="R18" s="131"/>
    </row>
    <row r="19" spans="2:18" x14ac:dyDescent="0.25">
      <c r="B19" s="127"/>
      <c r="C19" s="132" t="s">
        <v>36</v>
      </c>
      <c r="D19" s="134">
        <v>0.16</v>
      </c>
      <c r="E19" s="134">
        <v>2.4</v>
      </c>
      <c r="F19" s="134">
        <f t="shared" si="2"/>
        <v>0.38400000000000001</v>
      </c>
      <c r="G19" s="135">
        <f t="shared" si="1"/>
        <v>0.56499999999999995</v>
      </c>
      <c r="H19" s="130"/>
      <c r="K19" s="131"/>
      <c r="M19" s="131"/>
      <c r="R19" s="131"/>
    </row>
    <row r="20" spans="2:18" x14ac:dyDescent="0.25">
      <c r="B20" s="127"/>
      <c r="C20" s="132" t="s">
        <v>37</v>
      </c>
      <c r="D20" s="134">
        <v>0.17</v>
      </c>
      <c r="E20" s="134">
        <v>2.4</v>
      </c>
      <c r="F20" s="134">
        <f t="shared" si="2"/>
        <v>0.40800000000000003</v>
      </c>
      <c r="G20" s="135">
        <f t="shared" si="1"/>
        <v>0.58899999999999997</v>
      </c>
      <c r="H20" s="130"/>
      <c r="K20" s="131"/>
      <c r="M20" s="131"/>
      <c r="R20" s="131"/>
    </row>
    <row r="21" spans="2:18" x14ac:dyDescent="0.25">
      <c r="B21" s="127"/>
      <c r="C21" s="132" t="s">
        <v>38</v>
      </c>
      <c r="D21" s="134">
        <v>0.18</v>
      </c>
      <c r="E21" s="134">
        <v>2.4</v>
      </c>
      <c r="F21" s="134">
        <f t="shared" si="2"/>
        <v>0.432</v>
      </c>
      <c r="G21" s="135">
        <f t="shared" si="1"/>
        <v>0.61299999999999999</v>
      </c>
      <c r="H21" s="130"/>
      <c r="K21" s="131"/>
      <c r="M21" s="131"/>
      <c r="R21" s="131"/>
    </row>
    <row r="22" spans="2:18" x14ac:dyDescent="0.25">
      <c r="B22" s="127"/>
      <c r="C22" s="132" t="s">
        <v>39</v>
      </c>
      <c r="D22" s="134">
        <v>0.19</v>
      </c>
      <c r="E22" s="134">
        <v>2.4</v>
      </c>
      <c r="F22" s="134">
        <f t="shared" si="2"/>
        <v>0.45599999999999996</v>
      </c>
      <c r="G22" s="135">
        <f t="shared" si="1"/>
        <v>0.63700000000000001</v>
      </c>
      <c r="H22" s="130"/>
      <c r="K22" s="131"/>
      <c r="M22" s="131"/>
      <c r="R22" s="131"/>
    </row>
    <row r="23" spans="2:18" x14ac:dyDescent="0.25">
      <c r="B23" s="127"/>
      <c r="C23" s="132" t="s">
        <v>40</v>
      </c>
      <c r="D23" s="134">
        <v>0.2</v>
      </c>
      <c r="E23" s="134">
        <v>2.4</v>
      </c>
      <c r="F23" s="134">
        <f t="shared" si="2"/>
        <v>0.48</v>
      </c>
      <c r="G23" s="135">
        <f t="shared" si="1"/>
        <v>0.66100000000000003</v>
      </c>
      <c r="H23" s="130"/>
      <c r="K23" s="131"/>
      <c r="M23" s="131"/>
      <c r="R23" s="131"/>
    </row>
    <row r="24" spans="2:18" x14ac:dyDescent="0.25">
      <c r="B24" s="127"/>
      <c r="C24" s="129"/>
      <c r="D24" s="128"/>
      <c r="E24" s="128"/>
      <c r="F24" s="128"/>
      <c r="H24" s="130"/>
      <c r="K24" s="131"/>
      <c r="M24" s="131"/>
      <c r="R24" s="131"/>
    </row>
    <row r="25" spans="2:18" x14ac:dyDescent="0.25">
      <c r="B25" s="127"/>
      <c r="C25" s="129" t="s">
        <v>41</v>
      </c>
      <c r="D25" s="128"/>
      <c r="E25" s="128"/>
      <c r="F25" s="128"/>
      <c r="H25" s="130"/>
      <c r="K25" s="131"/>
      <c r="M25" s="131"/>
      <c r="R25" s="131"/>
    </row>
    <row r="26" spans="2:18" x14ac:dyDescent="0.25">
      <c r="B26" s="127"/>
      <c r="C26" s="129" t="s">
        <v>11</v>
      </c>
      <c r="D26" s="128">
        <v>0.03</v>
      </c>
      <c r="E26" s="128">
        <v>2.2999999999999998</v>
      </c>
      <c r="F26" s="128">
        <f>D26*E26</f>
        <v>6.8999999999999992E-2</v>
      </c>
      <c r="H26" s="130"/>
      <c r="K26" s="131"/>
      <c r="M26" s="131"/>
    </row>
    <row r="27" spans="2:18" x14ac:dyDescent="0.25">
      <c r="B27" s="127"/>
      <c r="C27" s="129" t="s">
        <v>12</v>
      </c>
      <c r="D27" s="128">
        <v>0.04</v>
      </c>
      <c r="E27" s="128">
        <v>1.8</v>
      </c>
      <c r="F27" s="128">
        <f>D27*E27</f>
        <v>7.2000000000000008E-2</v>
      </c>
      <c r="G27" s="131"/>
      <c r="H27" s="130"/>
      <c r="K27" s="131"/>
      <c r="M27" s="131"/>
    </row>
    <row r="28" spans="2:18" x14ac:dyDescent="0.25">
      <c r="B28" s="127"/>
      <c r="C28" s="129" t="s">
        <v>13</v>
      </c>
      <c r="D28" s="128">
        <v>0.02</v>
      </c>
      <c r="E28" s="128">
        <v>2</v>
      </c>
      <c r="F28" s="128">
        <f>D28*E28</f>
        <v>0.04</v>
      </c>
      <c r="H28" s="130"/>
      <c r="K28" s="131"/>
      <c r="M28" s="131"/>
    </row>
    <row r="29" spans="2:18" x14ac:dyDescent="0.25">
      <c r="B29" s="127"/>
      <c r="H29" s="130"/>
      <c r="K29" s="131"/>
      <c r="M29" s="131"/>
    </row>
    <row r="30" spans="2:18" x14ac:dyDescent="0.25">
      <c r="B30" s="127"/>
      <c r="C30" s="129" t="s">
        <v>15</v>
      </c>
      <c r="D30" s="129"/>
      <c r="E30" s="129"/>
      <c r="F30" s="129"/>
      <c r="H30" s="130"/>
      <c r="K30" s="131"/>
      <c r="M30" s="131"/>
    </row>
    <row r="31" spans="2:18" x14ac:dyDescent="0.25">
      <c r="B31" s="127"/>
      <c r="C31" s="129" t="s">
        <v>16</v>
      </c>
      <c r="D31" s="129"/>
      <c r="E31" s="129" t="s">
        <v>17</v>
      </c>
      <c r="F31" s="128">
        <v>0.2</v>
      </c>
      <c r="G31" s="118" t="s">
        <v>14</v>
      </c>
      <c r="H31" s="130"/>
      <c r="K31" s="131"/>
      <c r="M31" s="131"/>
    </row>
    <row r="32" spans="2:18" x14ac:dyDescent="0.25">
      <c r="B32" s="127"/>
      <c r="C32" s="129" t="s">
        <v>18</v>
      </c>
      <c r="D32" s="129"/>
      <c r="E32" s="129" t="s">
        <v>17</v>
      </c>
      <c r="F32" s="128">
        <v>0.4</v>
      </c>
      <c r="G32" s="118" t="s">
        <v>14</v>
      </c>
      <c r="H32" s="130"/>
      <c r="K32" s="131"/>
      <c r="M32" s="131"/>
    </row>
    <row r="33" spans="2:19" x14ac:dyDescent="0.25">
      <c r="B33" s="127"/>
      <c r="C33" s="129"/>
      <c r="D33" s="129"/>
      <c r="E33" s="129"/>
      <c r="F33" s="128"/>
      <c r="H33" s="130"/>
      <c r="K33" s="131"/>
      <c r="M33" s="131"/>
    </row>
    <row r="34" spans="2:19" x14ac:dyDescent="0.25">
      <c r="B34" s="127"/>
      <c r="C34" s="136" t="s">
        <v>133</v>
      </c>
      <c r="D34" s="128" t="s">
        <v>134</v>
      </c>
      <c r="E34" s="129"/>
      <c r="F34" s="128"/>
      <c r="H34" s="130"/>
      <c r="K34" s="131"/>
      <c r="M34" s="131"/>
    </row>
    <row r="35" spans="2:19" x14ac:dyDescent="0.25">
      <c r="B35" s="127"/>
      <c r="H35" s="130"/>
      <c r="K35" s="131"/>
      <c r="M35" s="131"/>
    </row>
    <row r="36" spans="2:19" x14ac:dyDescent="0.25">
      <c r="B36" s="127"/>
      <c r="C36" s="137" t="s">
        <v>19</v>
      </c>
      <c r="D36" s="128" t="s">
        <v>20</v>
      </c>
      <c r="E36" s="128" t="s">
        <v>21</v>
      </c>
      <c r="F36" s="128" t="s">
        <v>22</v>
      </c>
      <c r="H36" s="130"/>
      <c r="K36" s="131"/>
      <c r="M36" s="131"/>
    </row>
    <row r="37" spans="2:19" x14ac:dyDescent="0.25">
      <c r="B37" s="127"/>
      <c r="C37" s="137" t="s">
        <v>23</v>
      </c>
      <c r="D37" s="128">
        <f>G15</f>
        <v>0.46899999999999997</v>
      </c>
      <c r="E37" s="128">
        <f>F31</f>
        <v>0.2</v>
      </c>
      <c r="F37" s="128">
        <f>1.6*E37+1.2*D37</f>
        <v>0.88280000000000003</v>
      </c>
      <c r="H37" s="130"/>
      <c r="K37" s="131"/>
      <c r="M37" s="131"/>
    </row>
    <row r="38" spans="2:19" x14ac:dyDescent="0.25">
      <c r="B38" s="127"/>
      <c r="C38" s="137" t="s">
        <v>24</v>
      </c>
      <c r="D38" s="128">
        <v>0.52</v>
      </c>
      <c r="E38" s="128">
        <v>0.4</v>
      </c>
      <c r="F38" s="128">
        <f>1.6*E38+1.2*D38</f>
        <v>1.2640000000000002</v>
      </c>
      <c r="H38" s="130"/>
      <c r="K38" s="131"/>
      <c r="M38" s="131"/>
    </row>
    <row r="39" spans="2:19" x14ac:dyDescent="0.25">
      <c r="B39" s="127"/>
      <c r="C39" s="137" t="s">
        <v>25</v>
      </c>
      <c r="D39" s="128">
        <f>F15+F26+F27+F28</f>
        <v>0.46899999999999997</v>
      </c>
      <c r="E39" s="128">
        <v>0.2</v>
      </c>
      <c r="F39" s="128">
        <f>1.6*E39+1.2*D39</f>
        <v>0.88280000000000003</v>
      </c>
      <c r="H39" s="130"/>
      <c r="K39" s="131"/>
      <c r="M39" s="131"/>
    </row>
    <row r="40" spans="2:19" ht="16.5" thickBot="1" x14ac:dyDescent="0.3">
      <c r="B40" s="138"/>
      <c r="C40" s="139"/>
      <c r="D40" s="140"/>
      <c r="E40" s="140"/>
      <c r="F40" s="140"/>
      <c r="G40" s="141"/>
      <c r="H40" s="142"/>
      <c r="K40" s="131"/>
      <c r="M40" s="131"/>
    </row>
    <row r="41" spans="2:19" ht="16.5" thickBot="1" x14ac:dyDescent="0.3">
      <c r="K41" s="131"/>
      <c r="M41" s="131"/>
    </row>
    <row r="42" spans="2:19" s="123" customFormat="1" ht="15.75" customHeight="1" x14ac:dyDescent="0.25">
      <c r="B42" s="119"/>
      <c r="C42" s="181" t="s">
        <v>148</v>
      </c>
      <c r="D42" s="181"/>
      <c r="E42" s="120" t="s">
        <v>0</v>
      </c>
      <c r="F42" s="120"/>
      <c r="G42" s="121" t="str">
        <f>G2</f>
        <v>Proyecto Demo</v>
      </c>
      <c r="H42" s="122"/>
      <c r="I42" s="118"/>
    </row>
    <row r="43" spans="2:19" s="123" customFormat="1" ht="15.75" customHeight="1" x14ac:dyDescent="0.25">
      <c r="B43" s="124"/>
      <c r="C43" s="182" t="s">
        <v>2</v>
      </c>
      <c r="D43" s="182"/>
      <c r="E43" s="123" t="s">
        <v>3</v>
      </c>
      <c r="G43" s="143">
        <f>G3</f>
        <v>45904</v>
      </c>
      <c r="H43" s="125"/>
      <c r="I43" s="118"/>
    </row>
    <row r="44" spans="2:19" s="123" customFormat="1" ht="15.75" customHeight="1" x14ac:dyDescent="0.25">
      <c r="B44" s="124"/>
      <c r="D44" s="126" t="s">
        <v>149</v>
      </c>
      <c r="E44" s="123" t="s">
        <v>4</v>
      </c>
      <c r="G44" s="118" t="s">
        <v>5</v>
      </c>
      <c r="H44" s="125"/>
      <c r="I44" s="118"/>
    </row>
    <row r="45" spans="2:19" x14ac:dyDescent="0.25">
      <c r="B45" s="127"/>
      <c r="C45" s="129"/>
      <c r="D45" s="128"/>
      <c r="E45" s="129"/>
      <c r="F45" s="129"/>
      <c r="H45" s="130"/>
      <c r="K45" s="131"/>
      <c r="M45" s="131"/>
    </row>
    <row r="46" spans="2:19" x14ac:dyDescent="0.25">
      <c r="B46" s="127"/>
      <c r="C46" s="129" t="s">
        <v>6</v>
      </c>
      <c r="D46" s="129"/>
      <c r="E46" s="129"/>
      <c r="F46" s="129"/>
      <c r="H46" s="130"/>
      <c r="K46" s="131"/>
      <c r="M46" s="131"/>
    </row>
    <row r="47" spans="2:19" x14ac:dyDescent="0.25">
      <c r="B47" s="127"/>
      <c r="C47" s="132" t="s">
        <v>26</v>
      </c>
      <c r="D47" s="136"/>
      <c r="E47" s="136"/>
      <c r="F47" s="136"/>
      <c r="G47" s="144"/>
      <c r="H47" s="130"/>
      <c r="K47" s="131"/>
      <c r="M47" s="131"/>
      <c r="R47" s="144" t="s">
        <v>59</v>
      </c>
      <c r="S47" s="144" t="s">
        <v>60</v>
      </c>
    </row>
    <row r="48" spans="2:19" x14ac:dyDescent="0.25">
      <c r="B48" s="127"/>
      <c r="C48" s="136" t="s">
        <v>8</v>
      </c>
      <c r="D48" s="136" t="s">
        <v>9</v>
      </c>
      <c r="E48" s="136" t="s">
        <v>132</v>
      </c>
      <c r="F48" s="136" t="s">
        <v>10</v>
      </c>
      <c r="G48" s="144" t="s">
        <v>31</v>
      </c>
      <c r="H48" s="130"/>
      <c r="K48" s="131"/>
      <c r="M48" s="131"/>
      <c r="R48" s="145">
        <v>1.2</v>
      </c>
      <c r="S48" s="145">
        <v>1.6</v>
      </c>
    </row>
    <row r="49" spans="2:13" x14ac:dyDescent="0.25">
      <c r="B49" s="127"/>
      <c r="C49" s="132" t="s">
        <v>96</v>
      </c>
      <c r="D49" s="134">
        <v>5.9999999999999901E-2</v>
      </c>
      <c r="E49" s="134">
        <v>2.4</v>
      </c>
      <c r="F49" s="134">
        <f t="shared" ref="F49:F54" si="3">D49*E49</f>
        <v>0.14399999999999977</v>
      </c>
      <c r="G49" s="135">
        <f t="shared" ref="G49:G63" si="4">F49+$F$66+$F$67+$F$68</f>
        <v>0.32799999999999985</v>
      </c>
      <c r="H49" s="130"/>
      <c r="K49" s="131"/>
      <c r="M49" s="131"/>
    </row>
    <row r="50" spans="2:13" x14ac:dyDescent="0.25">
      <c r="B50" s="127"/>
      <c r="C50" s="132" t="s">
        <v>97</v>
      </c>
      <c r="D50" s="134">
        <v>7.0000000000000007E-2</v>
      </c>
      <c r="E50" s="134">
        <v>2.4</v>
      </c>
      <c r="F50" s="134">
        <f t="shared" si="3"/>
        <v>0.16800000000000001</v>
      </c>
      <c r="G50" s="135">
        <f t="shared" si="4"/>
        <v>0.35200000000000009</v>
      </c>
      <c r="H50" s="130"/>
      <c r="K50" s="131"/>
      <c r="M50" s="131"/>
    </row>
    <row r="51" spans="2:13" x14ac:dyDescent="0.25">
      <c r="B51" s="127"/>
      <c r="C51" s="132" t="s">
        <v>98</v>
      </c>
      <c r="D51" s="134">
        <v>0.08</v>
      </c>
      <c r="E51" s="134">
        <v>2.4</v>
      </c>
      <c r="F51" s="134">
        <f t="shared" si="3"/>
        <v>0.192</v>
      </c>
      <c r="G51" s="135">
        <f t="shared" si="4"/>
        <v>0.376</v>
      </c>
      <c r="H51" s="130"/>
      <c r="K51" s="131"/>
      <c r="M51" s="131"/>
    </row>
    <row r="52" spans="2:13" x14ac:dyDescent="0.25">
      <c r="B52" s="127"/>
      <c r="C52" s="132" t="s">
        <v>99</v>
      </c>
      <c r="D52" s="134">
        <v>0.09</v>
      </c>
      <c r="E52" s="134">
        <v>2.4</v>
      </c>
      <c r="F52" s="134">
        <f t="shared" si="3"/>
        <v>0.216</v>
      </c>
      <c r="G52" s="135">
        <f t="shared" si="4"/>
        <v>0.4</v>
      </c>
      <c r="H52" s="130"/>
      <c r="K52" s="131"/>
      <c r="M52" s="131"/>
    </row>
    <row r="53" spans="2:13" x14ac:dyDescent="0.25">
      <c r="B53" s="127"/>
      <c r="C53" s="132" t="s">
        <v>100</v>
      </c>
      <c r="D53" s="134">
        <v>0.1</v>
      </c>
      <c r="E53" s="134">
        <v>2.4</v>
      </c>
      <c r="F53" s="134">
        <f t="shared" si="3"/>
        <v>0.24</v>
      </c>
      <c r="G53" s="135">
        <f t="shared" si="4"/>
        <v>0.42400000000000004</v>
      </c>
      <c r="H53" s="130"/>
      <c r="K53" s="131"/>
      <c r="M53" s="131"/>
    </row>
    <row r="54" spans="2:13" x14ac:dyDescent="0.25">
      <c r="B54" s="127"/>
      <c r="C54" s="132" t="s">
        <v>101</v>
      </c>
      <c r="D54" s="134">
        <v>0.11</v>
      </c>
      <c r="E54" s="134">
        <v>2.4</v>
      </c>
      <c r="F54" s="134">
        <f t="shared" si="3"/>
        <v>0.26400000000000001</v>
      </c>
      <c r="G54" s="135">
        <f t="shared" si="4"/>
        <v>0.44800000000000006</v>
      </c>
      <c r="H54" s="130"/>
      <c r="K54" s="131"/>
      <c r="M54" s="131"/>
    </row>
    <row r="55" spans="2:13" x14ac:dyDescent="0.25">
      <c r="B55" s="127"/>
      <c r="C55" s="132" t="s">
        <v>32</v>
      </c>
      <c r="D55" s="134">
        <v>0.12</v>
      </c>
      <c r="E55" s="134">
        <v>2.4</v>
      </c>
      <c r="F55" s="134">
        <f>D55*E55</f>
        <v>0.28799999999999998</v>
      </c>
      <c r="G55" s="135">
        <f t="shared" si="4"/>
        <v>0.47199999999999998</v>
      </c>
      <c r="H55" s="130"/>
      <c r="K55" s="131"/>
      <c r="M55" s="131"/>
    </row>
    <row r="56" spans="2:13" x14ac:dyDescent="0.25">
      <c r="B56" s="127"/>
      <c r="C56" s="132" t="s">
        <v>33</v>
      </c>
      <c r="D56" s="134">
        <v>0.13</v>
      </c>
      <c r="E56" s="134">
        <v>2.4</v>
      </c>
      <c r="F56" s="134">
        <f>D56*E56</f>
        <v>0.312</v>
      </c>
      <c r="G56" s="135">
        <f t="shared" si="4"/>
        <v>0.496</v>
      </c>
      <c r="H56" s="130"/>
      <c r="K56" s="131"/>
      <c r="M56" s="131"/>
    </row>
    <row r="57" spans="2:13" x14ac:dyDescent="0.25">
      <c r="B57" s="127"/>
      <c r="C57" s="132" t="s">
        <v>34</v>
      </c>
      <c r="D57" s="134">
        <v>0.14000000000000001</v>
      </c>
      <c r="E57" s="134">
        <v>2.4</v>
      </c>
      <c r="F57" s="134">
        <f t="shared" ref="F57:F63" si="5">D57*E57</f>
        <v>0.33600000000000002</v>
      </c>
      <c r="G57" s="135">
        <f t="shared" si="4"/>
        <v>0.52</v>
      </c>
      <c r="H57" s="130"/>
      <c r="K57" s="131"/>
      <c r="M57" s="131"/>
    </row>
    <row r="58" spans="2:13" x14ac:dyDescent="0.25">
      <c r="B58" s="127"/>
      <c r="C58" s="132" t="s">
        <v>35</v>
      </c>
      <c r="D58" s="134">
        <v>0.15</v>
      </c>
      <c r="E58" s="134">
        <v>2.4</v>
      </c>
      <c r="F58" s="134">
        <f t="shared" si="5"/>
        <v>0.36</v>
      </c>
      <c r="G58" s="135">
        <f t="shared" si="4"/>
        <v>0.54400000000000004</v>
      </c>
      <c r="H58" s="130"/>
      <c r="K58" s="131"/>
      <c r="M58" s="131"/>
    </row>
    <row r="59" spans="2:13" x14ac:dyDescent="0.25">
      <c r="B59" s="127"/>
      <c r="C59" s="132" t="s">
        <v>36</v>
      </c>
      <c r="D59" s="134">
        <v>0.16</v>
      </c>
      <c r="E59" s="134">
        <v>2.4</v>
      </c>
      <c r="F59" s="134">
        <f t="shared" si="5"/>
        <v>0.38400000000000001</v>
      </c>
      <c r="G59" s="135">
        <f t="shared" si="4"/>
        <v>0.56800000000000006</v>
      </c>
      <c r="H59" s="130"/>
    </row>
    <row r="60" spans="2:13" x14ac:dyDescent="0.25">
      <c r="B60" s="127"/>
      <c r="C60" s="132" t="s">
        <v>37</v>
      </c>
      <c r="D60" s="134">
        <v>0.17</v>
      </c>
      <c r="E60" s="134">
        <v>2.4</v>
      </c>
      <c r="F60" s="134">
        <f t="shared" si="5"/>
        <v>0.40800000000000003</v>
      </c>
      <c r="G60" s="135">
        <f t="shared" si="4"/>
        <v>0.59200000000000008</v>
      </c>
      <c r="H60" s="130"/>
    </row>
    <row r="61" spans="2:13" x14ac:dyDescent="0.25">
      <c r="B61" s="127"/>
      <c r="C61" s="132" t="s">
        <v>38</v>
      </c>
      <c r="D61" s="134">
        <v>0.18</v>
      </c>
      <c r="E61" s="134">
        <v>2.4</v>
      </c>
      <c r="F61" s="134">
        <f t="shared" si="5"/>
        <v>0.432</v>
      </c>
      <c r="G61" s="135">
        <f t="shared" si="4"/>
        <v>0.6160000000000001</v>
      </c>
      <c r="H61" s="130"/>
    </row>
    <row r="62" spans="2:13" x14ac:dyDescent="0.25">
      <c r="B62" s="127"/>
      <c r="C62" s="132" t="s">
        <v>39</v>
      </c>
      <c r="D62" s="134">
        <v>0.19</v>
      </c>
      <c r="E62" s="134">
        <v>2.4</v>
      </c>
      <c r="F62" s="134">
        <f t="shared" si="5"/>
        <v>0.45599999999999996</v>
      </c>
      <c r="G62" s="135">
        <f t="shared" si="4"/>
        <v>0.64</v>
      </c>
      <c r="H62" s="130"/>
    </row>
    <row r="63" spans="2:13" x14ac:dyDescent="0.25">
      <c r="B63" s="127"/>
      <c r="C63" s="132" t="s">
        <v>40</v>
      </c>
      <c r="D63" s="134">
        <v>0.2</v>
      </c>
      <c r="E63" s="134">
        <v>2.4</v>
      </c>
      <c r="F63" s="134">
        <f t="shared" si="5"/>
        <v>0.48</v>
      </c>
      <c r="G63" s="135">
        <f t="shared" si="4"/>
        <v>0.66400000000000003</v>
      </c>
      <c r="H63" s="130"/>
    </row>
    <row r="64" spans="2:13" x14ac:dyDescent="0.25">
      <c r="B64" s="127"/>
      <c r="H64" s="130"/>
    </row>
    <row r="65" spans="2:13" x14ac:dyDescent="0.25">
      <c r="B65" s="127"/>
      <c r="C65" s="129" t="s">
        <v>41</v>
      </c>
      <c r="H65" s="130"/>
    </row>
    <row r="66" spans="2:13" x14ac:dyDescent="0.25">
      <c r="B66" s="127"/>
      <c r="C66" s="129" t="s">
        <v>27</v>
      </c>
      <c r="D66" s="128">
        <v>0.08</v>
      </c>
      <c r="E66" s="128">
        <v>1.8</v>
      </c>
      <c r="F66" s="128">
        <f>D66*E66</f>
        <v>0.14400000000000002</v>
      </c>
      <c r="H66" s="130"/>
    </row>
    <row r="67" spans="2:13" x14ac:dyDescent="0.25">
      <c r="B67" s="127"/>
      <c r="C67" s="129" t="s">
        <v>28</v>
      </c>
      <c r="D67" s="128">
        <v>0.02</v>
      </c>
      <c r="E67" s="128">
        <v>0.5</v>
      </c>
      <c r="F67" s="128">
        <f>D67*E67</f>
        <v>0.01</v>
      </c>
      <c r="H67" s="130"/>
    </row>
    <row r="68" spans="2:13" x14ac:dyDescent="0.25">
      <c r="B68" s="127"/>
      <c r="C68" s="129" t="s">
        <v>13</v>
      </c>
      <c r="D68" s="128">
        <v>1.4999999999999999E-2</v>
      </c>
      <c r="E68" s="128">
        <v>2</v>
      </c>
      <c r="F68" s="128">
        <f>D68*E68</f>
        <v>0.03</v>
      </c>
      <c r="G68" s="118" t="s">
        <v>14</v>
      </c>
      <c r="H68" s="130"/>
    </row>
    <row r="69" spans="2:13" x14ac:dyDescent="0.25">
      <c r="B69" s="127"/>
      <c r="H69" s="130"/>
    </row>
    <row r="70" spans="2:13" x14ac:dyDescent="0.25">
      <c r="B70" s="127"/>
      <c r="C70" s="129" t="s">
        <v>15</v>
      </c>
      <c r="D70" s="129"/>
      <c r="E70" s="129"/>
      <c r="F70" s="129"/>
      <c r="H70" s="130"/>
    </row>
    <row r="71" spans="2:13" x14ac:dyDescent="0.25">
      <c r="B71" s="127"/>
      <c r="C71" s="129" t="s">
        <v>29</v>
      </c>
      <c r="D71" s="129"/>
      <c r="E71" s="129" t="s">
        <v>17</v>
      </c>
      <c r="F71" s="128">
        <v>0.1</v>
      </c>
      <c r="G71" s="118" t="s">
        <v>14</v>
      </c>
      <c r="H71" s="130"/>
    </row>
    <row r="72" spans="2:13" x14ac:dyDescent="0.25">
      <c r="B72" s="127"/>
      <c r="C72" s="129"/>
      <c r="D72" s="129"/>
      <c r="E72" s="129"/>
      <c r="H72" s="130"/>
    </row>
    <row r="73" spans="2:13" x14ac:dyDescent="0.25">
      <c r="B73" s="127"/>
      <c r="C73" s="137" t="s">
        <v>133</v>
      </c>
      <c r="D73" s="128"/>
      <c r="E73" s="129"/>
      <c r="F73" s="129"/>
      <c r="H73" s="130"/>
    </row>
    <row r="74" spans="2:13" x14ac:dyDescent="0.25">
      <c r="B74" s="127"/>
      <c r="C74" s="129"/>
      <c r="D74" s="128"/>
      <c r="E74" s="129"/>
      <c r="F74" s="129"/>
      <c r="H74" s="130"/>
      <c r="K74" s="131"/>
      <c r="M74" s="131"/>
    </row>
    <row r="75" spans="2:13" x14ac:dyDescent="0.25">
      <c r="B75" s="127"/>
      <c r="C75" s="137" t="s">
        <v>19</v>
      </c>
      <c r="D75" s="128" t="s">
        <v>20</v>
      </c>
      <c r="E75" s="128" t="s">
        <v>21</v>
      </c>
      <c r="F75" s="128" t="s">
        <v>22</v>
      </c>
      <c r="H75" s="130"/>
      <c r="K75" s="131"/>
      <c r="M75" s="131"/>
    </row>
    <row r="76" spans="2:13" x14ac:dyDescent="0.25">
      <c r="B76" s="127"/>
      <c r="C76" s="137" t="s">
        <v>30</v>
      </c>
      <c r="D76" s="128">
        <f>G55</f>
        <v>0.47199999999999998</v>
      </c>
      <c r="E76" s="128">
        <f>F71</f>
        <v>0.1</v>
      </c>
      <c r="F76" s="128">
        <f>1.6*E76+1.2*D76</f>
        <v>0.72639999999999993</v>
      </c>
      <c r="H76" s="130"/>
      <c r="K76" s="131"/>
      <c r="M76" s="131"/>
    </row>
    <row r="77" spans="2:13" ht="16.5" thickBot="1" x14ac:dyDescent="0.3">
      <c r="B77" s="138"/>
      <c r="C77" s="140"/>
      <c r="D77" s="141"/>
      <c r="E77" s="141"/>
      <c r="F77" s="141"/>
      <c r="G77" s="141"/>
      <c r="H77" s="142"/>
      <c r="K77" s="131"/>
      <c r="M77" s="131"/>
    </row>
    <row r="78" spans="2:13" x14ac:dyDescent="0.25">
      <c r="C78" s="128"/>
      <c r="K78" s="131"/>
      <c r="M78" s="131"/>
    </row>
    <row r="79" spans="2:13" x14ac:dyDescent="0.25">
      <c r="C79" s="128"/>
      <c r="K79" s="131"/>
      <c r="M79" s="131"/>
    </row>
    <row r="80" spans="2:13" x14ac:dyDescent="0.25">
      <c r="C80" s="128"/>
      <c r="H80" s="131"/>
      <c r="K80" s="131"/>
      <c r="M80" s="131"/>
    </row>
    <row r="81" spans="3:13" x14ac:dyDescent="0.25">
      <c r="C81" s="128"/>
      <c r="D81" s="137"/>
      <c r="E81" s="128"/>
      <c r="F81" s="128"/>
      <c r="G81" s="128"/>
      <c r="H81" s="131"/>
      <c r="K81" s="131"/>
      <c r="M81" s="131"/>
    </row>
    <row r="82" spans="3:13" x14ac:dyDescent="0.25">
      <c r="C82" s="128"/>
      <c r="D82" s="137"/>
      <c r="E82" s="128"/>
      <c r="F82" s="128"/>
      <c r="G82" s="128"/>
      <c r="H82" s="131"/>
      <c r="K82" s="131"/>
      <c r="M82" s="131"/>
    </row>
    <row r="83" spans="3:13" x14ac:dyDescent="0.25">
      <c r="C83" s="128"/>
      <c r="D83" s="137"/>
      <c r="E83" s="128"/>
      <c r="F83" s="128"/>
      <c r="G83" s="128"/>
      <c r="H83" s="131"/>
      <c r="K83" s="131"/>
      <c r="M83" s="131"/>
    </row>
    <row r="84" spans="3:13" x14ac:dyDescent="0.25">
      <c r="C84" s="128"/>
      <c r="D84" s="137"/>
      <c r="E84" s="128"/>
      <c r="F84" s="128"/>
      <c r="G84" s="128"/>
      <c r="H84" s="131"/>
      <c r="K84" s="131"/>
      <c r="M84" s="131"/>
    </row>
    <row r="85" spans="3:13" x14ac:dyDescent="0.25">
      <c r="C85" s="128"/>
      <c r="D85" s="137"/>
      <c r="E85" s="128"/>
      <c r="F85" s="128"/>
      <c r="G85" s="128"/>
      <c r="H85" s="131"/>
      <c r="K85" s="131"/>
      <c r="M85" s="131"/>
    </row>
    <row r="86" spans="3:13" x14ac:dyDescent="0.25">
      <c r="C86" s="128"/>
      <c r="D86" s="137"/>
      <c r="E86" s="128"/>
      <c r="F86" s="128"/>
      <c r="G86" s="128"/>
      <c r="H86" s="131"/>
      <c r="K86" s="131"/>
      <c r="M86" s="131"/>
    </row>
    <row r="87" spans="3:13" x14ac:dyDescent="0.25">
      <c r="D87" s="129"/>
      <c r="E87" s="128"/>
      <c r="F87" s="129"/>
      <c r="G87" s="129"/>
    </row>
  </sheetData>
  <mergeCells count="4">
    <mergeCell ref="C2:D2"/>
    <mergeCell ref="C3:D3"/>
    <mergeCell ref="C42:D42"/>
    <mergeCell ref="C43:D43"/>
  </mergeCells>
  <pageMargins left="0.43" right="0.38" top="0.27" bottom="0.6" header="0.19" footer="0.5"/>
  <pageSetup orientation="portrait" horizontalDpi="4294967294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ECC-0B82-43FF-B118-D517DA14BC96}">
  <sheetPr codeName="Hoja28"/>
  <dimension ref="B1:M43"/>
  <sheetViews>
    <sheetView topLeftCell="C13" zoomScale="137" zoomScaleNormal="70" workbookViewId="0">
      <selection activeCell="F2" sqref="F2"/>
    </sheetView>
  </sheetViews>
  <sheetFormatPr defaultColWidth="11.42578125" defaultRowHeight="15.75" x14ac:dyDescent="0.25"/>
  <cols>
    <col min="1" max="1" width="11.42578125" style="118" customWidth="1"/>
    <col min="2" max="2" width="8.42578125" style="118" customWidth="1"/>
    <col min="3" max="3" width="26.140625" style="118" customWidth="1"/>
    <col min="4" max="4" width="14.28515625" style="118" customWidth="1"/>
    <col min="5" max="5" width="14.85546875" style="118" bestFit="1" customWidth="1"/>
    <col min="6" max="6" width="14.140625" style="118" bestFit="1" customWidth="1"/>
    <col min="7" max="7" width="14.7109375" style="118" customWidth="1"/>
    <col min="8" max="8" width="10.28515625" style="118" customWidth="1"/>
    <col min="9" max="9" width="6.42578125" style="118" customWidth="1"/>
    <col min="10" max="16" width="0" style="118" hidden="1" customWidth="1"/>
    <col min="17" max="16384" width="11.42578125" style="118"/>
  </cols>
  <sheetData>
    <row r="1" spans="2:13" ht="4.5" customHeight="1" thickBot="1" x14ac:dyDescent="0.3"/>
    <row r="2" spans="2:13" s="123" customFormat="1" ht="15.75" customHeight="1" x14ac:dyDescent="0.25">
      <c r="B2" s="119"/>
      <c r="C2" s="183" t="s">
        <v>148</v>
      </c>
      <c r="D2" s="183"/>
      <c r="E2" s="120" t="s">
        <v>0</v>
      </c>
      <c r="F2" s="121" t="str">
        <f>Cargas!G2</f>
        <v>Proyecto Demo</v>
      </c>
      <c r="G2" s="120"/>
      <c r="H2" s="122"/>
      <c r="I2" s="118"/>
    </row>
    <row r="3" spans="2:13" s="123" customFormat="1" ht="15.75" customHeight="1" x14ac:dyDescent="0.25">
      <c r="B3" s="124"/>
      <c r="C3" s="184" t="s">
        <v>2</v>
      </c>
      <c r="D3" s="184"/>
      <c r="E3" s="123" t="s">
        <v>3</v>
      </c>
      <c r="F3" s="146">
        <f>Cargas!G3</f>
        <v>45904</v>
      </c>
      <c r="H3" s="125"/>
      <c r="I3" s="118"/>
    </row>
    <row r="4" spans="2:13" s="123" customFormat="1" ht="15.75" customHeight="1" x14ac:dyDescent="0.25">
      <c r="B4" s="124"/>
      <c r="D4" s="126" t="s">
        <v>149</v>
      </c>
      <c r="E4" s="123" t="s">
        <v>4</v>
      </c>
      <c r="F4" s="118" t="s">
        <v>135</v>
      </c>
      <c r="H4" s="125"/>
      <c r="I4" s="118"/>
    </row>
    <row r="5" spans="2:13" x14ac:dyDescent="0.25">
      <c r="B5" s="127"/>
      <c r="C5" s="128"/>
      <c r="D5" s="129"/>
      <c r="E5" s="128"/>
      <c r="F5" s="129"/>
      <c r="G5" s="129"/>
      <c r="H5" s="130"/>
      <c r="K5" s="131"/>
      <c r="M5" s="131"/>
    </row>
    <row r="6" spans="2:13" x14ac:dyDescent="0.25">
      <c r="B6" s="127"/>
      <c r="D6" s="129"/>
      <c r="E6" s="129"/>
      <c r="F6" s="129"/>
      <c r="H6" s="130"/>
      <c r="K6" s="131"/>
      <c r="M6" s="131"/>
    </row>
    <row r="7" spans="2:13" ht="18" x14ac:dyDescent="0.25">
      <c r="B7" s="127"/>
      <c r="C7" s="148"/>
      <c r="D7" s="129"/>
      <c r="E7" s="129"/>
      <c r="F7" s="129"/>
      <c r="H7" s="130"/>
      <c r="K7" s="131"/>
      <c r="M7" s="131"/>
    </row>
    <row r="8" spans="2:13" x14ac:dyDescent="0.25">
      <c r="B8" s="127"/>
      <c r="C8" s="147" t="s">
        <v>136</v>
      </c>
      <c r="D8" s="134"/>
      <c r="E8" s="132"/>
      <c r="F8" s="132"/>
      <c r="G8" s="133"/>
      <c r="H8" s="130"/>
      <c r="K8" s="131"/>
      <c r="M8" s="131"/>
    </row>
    <row r="9" spans="2:13" x14ac:dyDescent="0.25">
      <c r="B9" s="127"/>
      <c r="C9" s="132"/>
      <c r="D9" s="134"/>
      <c r="E9" s="134"/>
      <c r="F9" s="134"/>
      <c r="G9" s="135"/>
      <c r="H9" s="130"/>
      <c r="K9" s="131"/>
      <c r="M9" s="131"/>
    </row>
    <row r="10" spans="2:13" x14ac:dyDescent="0.25">
      <c r="B10" s="127"/>
      <c r="C10" s="132"/>
      <c r="D10" s="134"/>
      <c r="E10" s="134"/>
      <c r="F10" s="134"/>
      <c r="G10" s="135"/>
      <c r="H10" s="130"/>
      <c r="K10" s="131"/>
      <c r="M10" s="131"/>
    </row>
    <row r="11" spans="2:13" x14ac:dyDescent="0.25">
      <c r="B11" s="127"/>
      <c r="C11" s="132"/>
      <c r="D11" s="134"/>
      <c r="E11" s="134"/>
      <c r="F11" s="134"/>
      <c r="G11" s="135"/>
      <c r="H11" s="130"/>
      <c r="K11" s="131"/>
      <c r="M11" s="131"/>
    </row>
    <row r="12" spans="2:13" x14ac:dyDescent="0.25">
      <c r="B12" s="127"/>
      <c r="C12" s="132"/>
      <c r="D12" s="134"/>
      <c r="E12" s="134"/>
      <c r="F12" s="134"/>
      <c r="G12" s="135"/>
      <c r="H12" s="130"/>
      <c r="K12" s="131"/>
      <c r="M12" s="131"/>
    </row>
    <row r="13" spans="2:13" x14ac:dyDescent="0.25">
      <c r="B13" s="127"/>
      <c r="C13" s="132"/>
      <c r="D13" s="134"/>
      <c r="E13" s="134"/>
      <c r="F13" s="134"/>
      <c r="G13" s="135"/>
      <c r="H13" s="130"/>
      <c r="K13" s="131"/>
      <c r="M13" s="131"/>
    </row>
    <row r="14" spans="2:13" x14ac:dyDescent="0.25">
      <c r="B14" s="127"/>
      <c r="C14" s="132"/>
      <c r="D14" s="134"/>
      <c r="E14" s="134"/>
      <c r="F14" s="134"/>
      <c r="G14" s="135"/>
      <c r="H14" s="130"/>
      <c r="K14" s="131"/>
      <c r="M14" s="131"/>
    </row>
    <row r="15" spans="2:13" x14ac:dyDescent="0.25">
      <c r="B15" s="127"/>
      <c r="C15" s="132"/>
      <c r="D15" s="134"/>
      <c r="E15" s="134"/>
      <c r="F15" s="134"/>
      <c r="G15" s="135"/>
      <c r="H15" s="130"/>
      <c r="K15" s="131"/>
      <c r="M15" s="131"/>
    </row>
    <row r="16" spans="2:13" x14ac:dyDescent="0.25">
      <c r="B16" s="127"/>
      <c r="C16" s="132"/>
      <c r="D16" s="134"/>
      <c r="E16" s="134"/>
      <c r="F16" s="134"/>
      <c r="G16" s="135"/>
      <c r="H16" s="130"/>
      <c r="K16" s="131"/>
      <c r="M16" s="131"/>
    </row>
    <row r="17" spans="2:13" x14ac:dyDescent="0.25">
      <c r="B17" s="127"/>
      <c r="C17" s="132"/>
      <c r="D17" s="134"/>
      <c r="E17" s="134"/>
      <c r="F17" s="134"/>
      <c r="G17" s="135"/>
      <c r="H17" s="130"/>
      <c r="K17" s="131"/>
      <c r="M17" s="131"/>
    </row>
    <row r="18" spans="2:13" x14ac:dyDescent="0.25">
      <c r="B18" s="127"/>
      <c r="C18" s="132"/>
      <c r="D18" s="134"/>
      <c r="E18" s="134"/>
      <c r="F18" s="134"/>
      <c r="G18" s="135"/>
      <c r="H18" s="130"/>
      <c r="K18" s="131"/>
      <c r="M18" s="131"/>
    </row>
    <row r="19" spans="2:13" x14ac:dyDescent="0.25">
      <c r="B19" s="127"/>
      <c r="C19" s="132"/>
      <c r="D19" s="134"/>
      <c r="E19" s="134"/>
      <c r="F19" s="134"/>
      <c r="G19" s="135"/>
      <c r="H19" s="130"/>
      <c r="K19" s="131"/>
      <c r="M19" s="131"/>
    </row>
    <row r="20" spans="2:13" x14ac:dyDescent="0.25">
      <c r="B20" s="127"/>
      <c r="C20" s="132"/>
      <c r="D20" s="134"/>
      <c r="E20" s="134"/>
      <c r="F20" s="134"/>
      <c r="G20" s="135"/>
      <c r="H20" s="130"/>
      <c r="K20" s="131"/>
      <c r="M20" s="131"/>
    </row>
    <row r="21" spans="2:13" x14ac:dyDescent="0.25">
      <c r="B21" s="127"/>
      <c r="C21" s="132"/>
      <c r="D21" s="134"/>
      <c r="E21" s="134"/>
      <c r="F21" s="134"/>
      <c r="G21" s="135"/>
      <c r="H21" s="130"/>
      <c r="K21" s="131"/>
      <c r="M21" s="131"/>
    </row>
    <row r="22" spans="2:13" x14ac:dyDescent="0.25">
      <c r="B22" s="127"/>
      <c r="C22" s="132"/>
      <c r="D22" s="134"/>
      <c r="E22" s="134"/>
      <c r="F22" s="134"/>
      <c r="G22" s="135"/>
      <c r="H22" s="130"/>
      <c r="K22" s="131"/>
      <c r="M22" s="131"/>
    </row>
    <row r="23" spans="2:13" x14ac:dyDescent="0.25">
      <c r="B23" s="127"/>
      <c r="C23" s="132"/>
      <c r="D23" s="134"/>
      <c r="E23" s="134"/>
      <c r="F23" s="134"/>
      <c r="G23" s="135"/>
      <c r="H23" s="130"/>
      <c r="K23" s="131"/>
      <c r="M23" s="131"/>
    </row>
    <row r="24" spans="2:13" x14ac:dyDescent="0.25">
      <c r="B24" s="127"/>
      <c r="C24" s="132"/>
      <c r="D24" s="134"/>
      <c r="E24" s="134"/>
      <c r="F24" s="134"/>
      <c r="G24" s="135"/>
      <c r="H24" s="130"/>
      <c r="K24" s="131"/>
      <c r="M24" s="131"/>
    </row>
    <row r="25" spans="2:13" x14ac:dyDescent="0.25">
      <c r="B25" s="127"/>
      <c r="C25" s="132"/>
      <c r="D25" s="134"/>
      <c r="E25" s="134"/>
      <c r="F25" s="134"/>
      <c r="G25" s="135"/>
      <c r="H25" s="130"/>
      <c r="K25" s="131"/>
      <c r="M25" s="131"/>
    </row>
    <row r="26" spans="2:13" x14ac:dyDescent="0.25">
      <c r="B26" s="127"/>
      <c r="C26" s="132"/>
      <c r="D26" s="134"/>
      <c r="E26" s="134"/>
      <c r="F26" s="134"/>
      <c r="G26" s="135"/>
      <c r="H26" s="130"/>
      <c r="K26" s="131"/>
      <c r="M26" s="131"/>
    </row>
    <row r="27" spans="2:13" x14ac:dyDescent="0.25">
      <c r="B27" s="127"/>
      <c r="C27" s="132"/>
      <c r="D27" s="134"/>
      <c r="E27" s="134"/>
      <c r="F27" s="134"/>
      <c r="G27" s="135"/>
      <c r="H27" s="130"/>
      <c r="K27" s="131"/>
      <c r="M27" s="131"/>
    </row>
    <row r="28" spans="2:13" x14ac:dyDescent="0.25">
      <c r="B28" s="127"/>
      <c r="C28" s="132"/>
      <c r="D28" s="134"/>
      <c r="E28" s="134"/>
      <c r="F28" s="134"/>
      <c r="G28" s="135"/>
      <c r="H28" s="130"/>
      <c r="K28" s="131"/>
      <c r="M28" s="131"/>
    </row>
    <row r="29" spans="2:13" x14ac:dyDescent="0.25">
      <c r="B29" s="127"/>
      <c r="C29" s="132"/>
      <c r="D29" s="134"/>
      <c r="E29" s="134"/>
      <c r="F29" s="134"/>
      <c r="G29" s="135"/>
      <c r="H29" s="130"/>
      <c r="K29" s="131"/>
      <c r="M29" s="131"/>
    </row>
    <row r="30" spans="2:13" x14ac:dyDescent="0.25">
      <c r="B30" s="127"/>
      <c r="C30" s="132"/>
      <c r="D30" s="134"/>
      <c r="E30" s="134"/>
      <c r="F30" s="134"/>
      <c r="G30" s="135"/>
      <c r="H30" s="130"/>
      <c r="K30" s="131"/>
      <c r="M30" s="131"/>
    </row>
    <row r="31" spans="2:13" x14ac:dyDescent="0.25">
      <c r="B31" s="127"/>
      <c r="C31" s="132"/>
      <c r="D31" s="134"/>
      <c r="E31" s="134"/>
      <c r="F31" s="134"/>
      <c r="G31" s="135"/>
      <c r="H31" s="130"/>
      <c r="K31" s="131"/>
      <c r="M31" s="131"/>
    </row>
    <row r="32" spans="2:13" x14ac:dyDescent="0.25">
      <c r="B32" s="127"/>
      <c r="C32" s="132"/>
      <c r="D32" s="134"/>
      <c r="E32" s="134"/>
      <c r="F32" s="134"/>
      <c r="G32" s="135"/>
      <c r="H32" s="130"/>
      <c r="K32" s="131"/>
      <c r="M32" s="131"/>
    </row>
    <row r="33" spans="2:13" x14ac:dyDescent="0.25">
      <c r="B33" s="127"/>
      <c r="C33" s="147" t="s">
        <v>137</v>
      </c>
      <c r="D33" s="134"/>
      <c r="E33" s="134"/>
      <c r="F33" s="134"/>
      <c r="G33" s="135"/>
      <c r="H33" s="130"/>
      <c r="K33" s="131"/>
      <c r="M33" s="131"/>
    </row>
    <row r="34" spans="2:13" x14ac:dyDescent="0.25">
      <c r="B34" s="127"/>
      <c r="C34" s="132"/>
      <c r="D34" s="134"/>
      <c r="E34" s="134"/>
      <c r="F34" s="134"/>
      <c r="G34" s="135"/>
      <c r="H34" s="130"/>
      <c r="K34" s="131"/>
      <c r="M34" s="131"/>
    </row>
    <row r="35" spans="2:13" x14ac:dyDescent="0.25">
      <c r="B35" s="127"/>
      <c r="C35" s="132"/>
      <c r="D35" s="134"/>
      <c r="E35" s="134"/>
      <c r="F35" s="134"/>
      <c r="G35" s="135"/>
      <c r="H35" s="130"/>
      <c r="K35" s="131"/>
      <c r="M35" s="131"/>
    </row>
    <row r="36" spans="2:13" x14ac:dyDescent="0.25">
      <c r="B36" s="127"/>
      <c r="C36"/>
      <c r="D36" s="134"/>
      <c r="E36" s="134"/>
      <c r="F36" s="134"/>
      <c r="G36" s="135"/>
      <c r="H36" s="130"/>
      <c r="K36" s="131"/>
      <c r="M36" s="131"/>
    </row>
    <row r="37" spans="2:13" x14ac:dyDescent="0.25">
      <c r="B37" s="127"/>
      <c r="C37" s="132"/>
      <c r="D37" s="134"/>
      <c r="E37" s="134"/>
      <c r="F37" s="134"/>
      <c r="G37" s="135"/>
      <c r="H37" s="130"/>
      <c r="K37" s="131"/>
      <c r="M37" s="131"/>
    </row>
    <row r="38" spans="2:13" x14ac:dyDescent="0.25">
      <c r="B38" s="127"/>
      <c r="C38" s="132"/>
      <c r="D38" s="134"/>
      <c r="E38" s="134"/>
      <c r="F38" s="134"/>
      <c r="G38" s="135"/>
      <c r="H38" s="130"/>
      <c r="K38" s="131"/>
      <c r="M38" s="131"/>
    </row>
    <row r="39" spans="2:13" x14ac:dyDescent="0.25">
      <c r="B39" s="127"/>
      <c r="C39" s="129"/>
      <c r="D39" s="128"/>
      <c r="E39" s="134"/>
      <c r="F39" s="134"/>
      <c r="G39" s="135"/>
      <c r="H39" s="130"/>
      <c r="K39" s="131"/>
      <c r="M39" s="131"/>
    </row>
    <row r="40" spans="2:13" x14ac:dyDescent="0.25">
      <c r="B40" s="127"/>
      <c r="C40" s="137"/>
      <c r="D40" s="128"/>
      <c r="E40" s="128"/>
      <c r="F40" s="128"/>
      <c r="H40" s="130"/>
      <c r="K40" s="131"/>
      <c r="M40" s="131"/>
    </row>
    <row r="41" spans="2:13" ht="16.5" thickBot="1" x14ac:dyDescent="0.3">
      <c r="B41" s="138"/>
      <c r="C41" s="139"/>
      <c r="D41" s="140"/>
      <c r="E41" s="140"/>
      <c r="F41" s="140"/>
      <c r="G41" s="141"/>
      <c r="H41" s="142"/>
      <c r="K41" s="131"/>
      <c r="M41" s="131"/>
    </row>
    <row r="42" spans="2:13" x14ac:dyDescent="0.25">
      <c r="K42" s="131"/>
      <c r="M42" s="131"/>
    </row>
    <row r="43" spans="2:13" x14ac:dyDescent="0.25">
      <c r="D43" s="129"/>
      <c r="E43" s="128"/>
      <c r="F43" s="129"/>
      <c r="G43" s="129"/>
    </row>
  </sheetData>
  <mergeCells count="2">
    <mergeCell ref="C2:D2"/>
    <mergeCell ref="C3:D3"/>
  </mergeCells>
  <pageMargins left="0.43" right="0.38" top="0.27" bottom="0.6" header="0.19" footer="0.5"/>
  <pageSetup orientation="portrait" horizontalDpi="4294967294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BB36-14D9-41E1-85AE-BC673674BB55}">
  <sheetPr codeName="Hoja2"/>
  <dimension ref="A1:AC58"/>
  <sheetViews>
    <sheetView topLeftCell="C13" zoomScale="145" zoomScaleNormal="145" workbookViewId="0">
      <selection activeCell="J29" sqref="J29"/>
    </sheetView>
  </sheetViews>
  <sheetFormatPr defaultColWidth="8.85546875" defaultRowHeight="12.75" x14ac:dyDescent="0.2"/>
  <cols>
    <col min="1" max="1" width="14.7109375" customWidth="1"/>
    <col min="2" max="8" width="8.5703125" customWidth="1"/>
    <col min="9" max="9" width="8.42578125" bestFit="1" customWidth="1"/>
    <col min="10" max="10" width="8.7109375" bestFit="1" customWidth="1"/>
    <col min="11" max="11" width="7.7109375" customWidth="1"/>
    <col min="12" max="12" width="6" style="6" bestFit="1" customWidth="1"/>
    <col min="13" max="13" width="5.7109375" style="6" bestFit="1" customWidth="1"/>
    <col min="14" max="14" width="8.42578125" style="6" bestFit="1" customWidth="1"/>
    <col min="15" max="15" width="4.85546875" style="6" bestFit="1" customWidth="1"/>
    <col min="16" max="16" width="5" style="6" hidden="1" customWidth="1"/>
    <col min="17" max="17" width="8.7109375" style="6" bestFit="1" customWidth="1"/>
    <col min="18" max="18" width="5.85546875" style="6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style="6" bestFit="1" customWidth="1"/>
    <col min="26" max="26" width="5.85546875" style="6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Earlette</v>
      </c>
    </row>
    <row r="2" spans="1:29" ht="18" customHeight="1" x14ac:dyDescent="0.25">
      <c r="A2" s="7"/>
      <c r="B2" s="194" t="s">
        <v>148</v>
      </c>
      <c r="C2" s="195"/>
      <c r="D2" s="196"/>
      <c r="E2" s="192" t="s">
        <v>0</v>
      </c>
      <c r="F2" s="193"/>
      <c r="G2" s="190" t="str">
        <f>Cargas!G2</f>
        <v>Proyecto Demo</v>
      </c>
      <c r="H2" s="190"/>
      <c r="I2" s="191"/>
      <c r="J2" s="8" t="s">
        <v>1</v>
      </c>
      <c r="K2" s="92"/>
      <c r="AB2" t="str">
        <f ca="1">_xlfn.TEXTAFTER(AB1,"Espesor")</f>
        <v xml:space="preserve"> Earlette</v>
      </c>
      <c r="AC2" t="str">
        <f ca="1">_xlfn.CONCAT(AB2," ","/")</f>
        <v xml:space="preserve"> Earlette /</v>
      </c>
    </row>
    <row r="3" spans="1:29" ht="18" customHeight="1" x14ac:dyDescent="0.25">
      <c r="A3" s="9"/>
      <c r="B3" s="204" t="s">
        <v>2</v>
      </c>
      <c r="C3" s="205"/>
      <c r="D3" s="206"/>
      <c r="E3" s="200" t="s">
        <v>3</v>
      </c>
      <c r="F3" s="201"/>
      <c r="G3" s="197">
        <f>Cargas!G3</f>
        <v>45904</v>
      </c>
      <c r="H3" s="198"/>
      <c r="I3" s="199"/>
      <c r="J3" s="202">
        <v>1</v>
      </c>
      <c r="K3" s="93"/>
    </row>
    <row r="4" spans="1:29" ht="18" customHeight="1" thickBot="1" x14ac:dyDescent="0.3">
      <c r="A4" s="10"/>
      <c r="B4" s="52" t="s">
        <v>102</v>
      </c>
      <c r="C4" s="81">
        <v>0</v>
      </c>
      <c r="D4" s="51"/>
      <c r="E4" s="12" t="s">
        <v>4</v>
      </c>
      <c r="F4" s="207" t="str">
        <f ca="1">_xlfn.CONCAT("Espesor"," ","de"," ","Losas"," ",AB2)</f>
        <v>Espesor de Losas  Earlette</v>
      </c>
      <c r="G4" s="208"/>
      <c r="H4" s="208"/>
      <c r="I4" s="209"/>
      <c r="J4" s="203"/>
      <c r="K4" s="93"/>
    </row>
    <row r="5" spans="1:29" x14ac:dyDescent="0.2">
      <c r="A5" s="3"/>
      <c r="E5" s="3"/>
      <c r="F5" s="3"/>
      <c r="G5" s="3"/>
      <c r="H5" s="3"/>
      <c r="I5" s="3"/>
      <c r="J5" s="3"/>
      <c r="K5" s="3"/>
    </row>
    <row r="6" spans="1:29" ht="13.5" x14ac:dyDescent="0.25">
      <c r="A6" s="4" t="s">
        <v>53</v>
      </c>
      <c r="B6" s="13">
        <f>IF(COUNTIFS(C9:C58,"&lt;&gt;1", B9:B58,"&lt;&gt;1")=0, 50, COUNTIFS(C9:C58,"&lt;&gt;1", B9:B58,"&lt;&gt;1"))</f>
        <v>21</v>
      </c>
      <c r="C6" s="4" t="s">
        <v>42</v>
      </c>
      <c r="D6" s="78">
        <v>4200</v>
      </c>
      <c r="E6" s="3" t="s">
        <v>43</v>
      </c>
      <c r="H6" s="3"/>
      <c r="I6" s="3"/>
      <c r="J6" s="3"/>
      <c r="K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K7" s="3"/>
      <c r="L7" s="153"/>
      <c r="M7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21" t="s">
        <v>50</v>
      </c>
      <c r="H8" s="187" t="s">
        <v>51</v>
      </c>
      <c r="I8" s="188"/>
      <c r="J8" s="189"/>
      <c r="K8" s="149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64">
        <v>1</v>
      </c>
      <c r="B9" s="90">
        <v>6.45</v>
      </c>
      <c r="C9" s="90">
        <v>5.4</v>
      </c>
      <c r="D9" s="161" t="str">
        <f>IF((MAX(B9:C9)/MIN(B9:C9))&gt;2,"1D","2D")</f>
        <v>2D</v>
      </c>
      <c r="E9" s="161" t="str">
        <f t="shared" ref="E9:E58" si="0">IF(D9="2D","N.A.",10)</f>
        <v>N.A.</v>
      </c>
      <c r="F9" s="161">
        <f>IF(D9="1D",MIN(B9:C9),MAX(B9:C9))</f>
        <v>6.45</v>
      </c>
      <c r="G9" s="162">
        <f>MAX(B9:C9)/MIN(B9:C9)</f>
        <v>1.1944444444444444</v>
      </c>
      <c r="H9" s="161">
        <f>IF(D9="2d",(F9*(0.8+($D$6/14000)))/(36+9*G9),F9/E9)</f>
        <v>0.15176470588235297</v>
      </c>
      <c r="I9" s="163" t="s">
        <v>52</v>
      </c>
      <c r="J9" s="79">
        <f>MAX(0.12,ROUND(H9,2))</f>
        <v>0.15</v>
      </c>
      <c r="K9" s="157"/>
      <c r="L9" s="158">
        <v>0.3</v>
      </c>
      <c r="M9" s="158">
        <v>0.6</v>
      </c>
      <c r="N9" s="156">
        <f>+F9*J9*J9*J9/12</f>
        <v>1.8140624999999999E-3</v>
      </c>
      <c r="O9" s="151">
        <f>+IF(4*J9&gt;=M9-J9,M9-J9,4*J9)*2+L9</f>
        <v>1.2</v>
      </c>
      <c r="P9" s="151">
        <f>+M9-(0.5*(((O9-L9)*J9*J9)+L9*M9*M9)/((O9-L9)*J9+L9*M9))</f>
        <v>0.39642857142857135</v>
      </c>
      <c r="Q9" s="156">
        <f>+(O9-L9)*J9*J9*J9/12+L9*M9*M9*M9/12+(O9-L9)*J9*POWER(M9-J9*0.5-P9,2)+L9*M9*POWER(P9-0.5*M9,2)</f>
        <v>9.5584821428571411E-3</v>
      </c>
      <c r="R9" s="152">
        <f>+Q9/N9</f>
        <v>5.2691029900332218</v>
      </c>
      <c r="S9" s="156">
        <f>+F9*J9*J9*J9*0.5/12</f>
        <v>9.0703124999999996E-4</v>
      </c>
      <c r="T9" s="155">
        <f>+IF(4*J9&gt;=M9-J9,M9-J9,4*J9)+L9</f>
        <v>0.75</v>
      </c>
      <c r="U9" s="154">
        <f>+M9-(0.5*(((T9-L9)*J9*J9)+L9*M9*M9)/((T9-L9)*J9+L9*M9))</f>
        <v>0.36136363636363633</v>
      </c>
      <c r="V9" s="156">
        <f>+(T9-L9)*J9*J9*J9/12+L9*M9*M9*M9/12+(T9-L9)*J9*POWER(M9-J9*0.5-U9,2)+L9*M9*POWER(U9-0.5*M9,2)</f>
        <v>8.0117897727272729E-3</v>
      </c>
      <c r="W9" s="152">
        <f>+V9/S9</f>
        <v>8.8329809725158572</v>
      </c>
      <c r="X9" s="158">
        <v>2</v>
      </c>
      <c r="Y9" s="158">
        <v>2</v>
      </c>
      <c r="Z9" s="151">
        <f>+(X9*R9+Y9*W9)/4</f>
        <v>7.0510419812745395</v>
      </c>
      <c r="AA9" s="154">
        <f>+(F9*(0.8+($D$6/14000)))/(36+5*((IF(Z9&gt;2,2,Z9))-0.2)*G9)</f>
        <v>0.15176470588235297</v>
      </c>
    </row>
    <row r="10" spans="1:29" ht="13.5" x14ac:dyDescent="0.25">
      <c r="A10" s="164">
        <v>2</v>
      </c>
      <c r="B10" s="90">
        <v>4.9000000000000004</v>
      </c>
      <c r="C10" s="90">
        <v>4.45</v>
      </c>
      <c r="D10" s="161" t="str">
        <f t="shared" ref="D10:D56" si="1">IF((MAX(B10:C10)/MIN(B10:C10))&gt;2,"1D","2D")</f>
        <v>2D</v>
      </c>
      <c r="E10" s="161" t="str">
        <f t="shared" si="0"/>
        <v>N.A.</v>
      </c>
      <c r="F10" s="161">
        <f t="shared" ref="F10:F56" si="2">IF(D10="1D",MIN(B10:C10),MAX(B10:C10))</f>
        <v>4.9000000000000004</v>
      </c>
      <c r="G10" s="162">
        <f t="shared" ref="G10:G56" si="3">MAX(B10:C10)/MIN(B10:C10)</f>
        <v>1.101123595505618</v>
      </c>
      <c r="H10" s="161">
        <f t="shared" ref="H10:H56" si="4">IF(D10="2d",(F10*(0.8+($D$6/14000)))/(36+9*G10),F10/E10)</f>
        <v>0.11740332843857075</v>
      </c>
      <c r="I10" s="163" t="s">
        <v>52</v>
      </c>
      <c r="J10" s="79">
        <f t="shared" ref="J10:J58" si="5">MAX(0.12,ROUND(H10,2))</f>
        <v>0.12</v>
      </c>
      <c r="K10" s="157"/>
      <c r="L10" s="158">
        <v>0.3</v>
      </c>
      <c r="M10" s="158">
        <v>0.6</v>
      </c>
      <c r="N10" s="156">
        <f t="shared" ref="N10:N58" si="6">+F10*J10*J10*J10/12</f>
        <v>7.0559999999999991E-4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13.583175709308117</v>
      </c>
      <c r="S10" s="156">
        <f t="shared" ref="S10:S58" si="11">+F10*J10*J10*J10*0.5/12</f>
        <v>3.5279999999999996E-4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22.626345083487944</v>
      </c>
      <c r="X10" s="158">
        <v>2</v>
      </c>
      <c r="Y10" s="158">
        <v>2</v>
      </c>
      <c r="Z10" s="151">
        <f t="shared" ref="Z10:Z58" si="16">+(X10*R10+Y10*W10)/4</f>
        <v>18.104760396398031</v>
      </c>
      <c r="AA10" s="154">
        <f t="shared" ref="AA10:AA58" si="17">+(F10*(0.8+($D$6/14000)))/(36+5*((IF(Z10&gt;2,2,Z10))-0.2)*G10)</f>
        <v>0.11740332843857075</v>
      </c>
    </row>
    <row r="11" spans="1:29" ht="13.5" x14ac:dyDescent="0.25">
      <c r="A11" s="164">
        <v>3</v>
      </c>
      <c r="B11" s="90">
        <v>4.9000000000000004</v>
      </c>
      <c r="C11" s="90">
        <v>4.4000000000000004</v>
      </c>
      <c r="D11" s="161" t="str">
        <f t="shared" si="1"/>
        <v>2D</v>
      </c>
      <c r="E11" s="161" t="str">
        <f t="shared" si="0"/>
        <v>N.A.</v>
      </c>
      <c r="F11" s="161">
        <f t="shared" si="2"/>
        <v>4.9000000000000004</v>
      </c>
      <c r="G11" s="162">
        <f t="shared" si="3"/>
        <v>1.1136363636363635</v>
      </c>
      <c r="H11" s="161">
        <f t="shared" si="4"/>
        <v>0.11711604938271607</v>
      </c>
      <c r="I11" s="163" t="s">
        <v>52</v>
      </c>
      <c r="J11" s="79">
        <f t="shared" si="5"/>
        <v>0.12</v>
      </c>
      <c r="K11" s="157"/>
      <c r="L11" s="158">
        <v>0.3</v>
      </c>
      <c r="M11" s="158">
        <v>0.6</v>
      </c>
      <c r="N11" s="156">
        <f t="shared" si="6"/>
        <v>7.0559999999999991E-4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13.583175709308117</v>
      </c>
      <c r="S11" s="156">
        <f t="shared" si="11"/>
        <v>3.5279999999999996E-4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22.626345083487944</v>
      </c>
      <c r="X11" s="158">
        <v>2</v>
      </c>
      <c r="Y11" s="158">
        <v>2</v>
      </c>
      <c r="Z11" s="151">
        <f t="shared" si="16"/>
        <v>18.104760396398031</v>
      </c>
      <c r="AA11" s="154">
        <f t="shared" si="17"/>
        <v>0.11711604938271607</v>
      </c>
    </row>
    <row r="12" spans="1:29" ht="13.5" x14ac:dyDescent="0.25">
      <c r="A12" s="164">
        <v>4</v>
      </c>
      <c r="B12" s="90">
        <v>3.8</v>
      </c>
      <c r="C12" s="90">
        <v>1.5</v>
      </c>
      <c r="D12" s="161" t="str">
        <f t="shared" si="1"/>
        <v>1D</v>
      </c>
      <c r="E12" s="161">
        <v>28</v>
      </c>
      <c r="F12" s="161">
        <f t="shared" si="2"/>
        <v>1.5</v>
      </c>
      <c r="G12" s="162">
        <f t="shared" si="3"/>
        <v>2.5333333333333332</v>
      </c>
      <c r="H12" s="161">
        <f t="shared" si="4"/>
        <v>5.3571428571428568E-2</v>
      </c>
      <c r="I12" s="163" t="s">
        <v>52</v>
      </c>
      <c r="J12" s="79">
        <f t="shared" si="5"/>
        <v>0.12</v>
      </c>
      <c r="K12" s="157"/>
      <c r="L12" s="158">
        <v>0.3</v>
      </c>
      <c r="M12" s="158">
        <v>0.6</v>
      </c>
      <c r="N12" s="156">
        <f t="shared" si="6"/>
        <v>2.1599999999999996E-4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44.371707317073181</v>
      </c>
      <c r="S12" s="156">
        <f t="shared" si="11"/>
        <v>1.0799999999999998E-4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73.912727272727281</v>
      </c>
      <c r="X12" s="158">
        <v>2</v>
      </c>
      <c r="Y12" s="158">
        <v>2</v>
      </c>
      <c r="Z12" s="151">
        <f t="shared" si="16"/>
        <v>59.142217294900234</v>
      </c>
      <c r="AA12" s="154">
        <f t="shared" si="17"/>
        <v>2.8061224489795922E-2</v>
      </c>
    </row>
    <row r="13" spans="1:29" ht="13.5" x14ac:dyDescent="0.25">
      <c r="A13" s="164">
        <v>5</v>
      </c>
      <c r="B13" s="90">
        <v>1.2</v>
      </c>
      <c r="C13" s="90">
        <v>4.6500000000000004</v>
      </c>
      <c r="D13" s="161" t="str">
        <f t="shared" si="1"/>
        <v>1D</v>
      </c>
      <c r="E13" s="161">
        <v>28</v>
      </c>
      <c r="F13" s="161">
        <f t="shared" si="2"/>
        <v>1.2</v>
      </c>
      <c r="G13" s="162">
        <f t="shared" si="3"/>
        <v>3.8750000000000004</v>
      </c>
      <c r="H13" s="161">
        <f t="shared" si="4"/>
        <v>4.2857142857142858E-2</v>
      </c>
      <c r="I13" s="163" t="s">
        <v>52</v>
      </c>
      <c r="J13" s="79">
        <f t="shared" si="5"/>
        <v>0.12</v>
      </c>
      <c r="K13" s="157"/>
      <c r="L13" s="158">
        <v>0.3</v>
      </c>
      <c r="M13" s="158">
        <v>0.6</v>
      </c>
      <c r="N13" s="156">
        <f t="shared" si="6"/>
        <v>1.7279999999999997E-4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55.464634146341481</v>
      </c>
      <c r="S13" s="156">
        <f t="shared" si="11"/>
        <v>8.6399999999999986E-5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92.390909090909105</v>
      </c>
      <c r="X13" s="158">
        <v>2</v>
      </c>
      <c r="Y13" s="158">
        <v>2</v>
      </c>
      <c r="Z13" s="151">
        <f t="shared" si="16"/>
        <v>73.927771618625286</v>
      </c>
      <c r="AA13" s="154">
        <f t="shared" si="17"/>
        <v>1.8624338624338627E-2</v>
      </c>
    </row>
    <row r="14" spans="1:29" ht="13.5" x14ac:dyDescent="0.25">
      <c r="A14" s="164">
        <v>6</v>
      </c>
      <c r="B14" s="90">
        <v>7.95</v>
      </c>
      <c r="C14" s="90">
        <v>7</v>
      </c>
      <c r="D14" s="161" t="str">
        <f t="shared" si="1"/>
        <v>2D</v>
      </c>
      <c r="E14" s="161" t="str">
        <f t="shared" si="0"/>
        <v>N.A.</v>
      </c>
      <c r="F14" s="161">
        <f t="shared" si="2"/>
        <v>7.95</v>
      </c>
      <c r="G14" s="162">
        <f t="shared" si="3"/>
        <v>1.1357142857142857</v>
      </c>
      <c r="H14" s="161">
        <f t="shared" si="4"/>
        <v>0.18919796012980994</v>
      </c>
      <c r="I14" s="163" t="s">
        <v>52</v>
      </c>
      <c r="J14" s="79">
        <v>0.2</v>
      </c>
      <c r="K14" s="157"/>
      <c r="L14" s="158">
        <v>0.3</v>
      </c>
      <c r="M14" s="158">
        <v>0.6</v>
      </c>
      <c r="N14" s="156">
        <f t="shared" si="6"/>
        <v>5.3000000000000018E-3</v>
      </c>
      <c r="O14" s="151">
        <f t="shared" si="7"/>
        <v>1.0999999999999999</v>
      </c>
      <c r="P14" s="151">
        <f t="shared" si="8"/>
        <v>0.39411764705882352</v>
      </c>
      <c r="Q14" s="156">
        <f t="shared" si="9"/>
        <v>9.3215686274509806E-3</v>
      </c>
      <c r="R14" s="152">
        <f t="shared" si="10"/>
        <v>1.7587865334813164</v>
      </c>
      <c r="S14" s="156">
        <f t="shared" si="11"/>
        <v>2.6500000000000009E-3</v>
      </c>
      <c r="T14" s="155">
        <f t="shared" si="12"/>
        <v>0.7</v>
      </c>
      <c r="U14" s="154">
        <f t="shared" si="13"/>
        <v>0.36153846153846153</v>
      </c>
      <c r="V14" s="156">
        <f t="shared" si="14"/>
        <v>7.8820512820512827E-3</v>
      </c>
      <c r="W14" s="152">
        <f t="shared" si="15"/>
        <v>2.9743589743589736</v>
      </c>
      <c r="X14" s="158">
        <v>2</v>
      </c>
      <c r="Y14" s="158">
        <v>2</v>
      </c>
      <c r="Z14" s="151">
        <f t="shared" si="16"/>
        <v>2.3665727539201451</v>
      </c>
      <c r="AA14" s="154">
        <f t="shared" si="17"/>
        <v>0.18919796012980994</v>
      </c>
    </row>
    <row r="15" spans="1:29" ht="13.5" x14ac:dyDescent="0.25">
      <c r="A15" s="164">
        <v>7</v>
      </c>
      <c r="B15" s="90">
        <v>5.55</v>
      </c>
      <c r="C15" s="90">
        <v>7</v>
      </c>
      <c r="D15" s="161" t="str">
        <f t="shared" si="1"/>
        <v>2D</v>
      </c>
      <c r="E15" s="161" t="str">
        <f t="shared" si="0"/>
        <v>N.A.</v>
      </c>
      <c r="F15" s="161">
        <f t="shared" si="2"/>
        <v>7</v>
      </c>
      <c r="G15" s="162">
        <f t="shared" si="3"/>
        <v>1.2612612612612613</v>
      </c>
      <c r="H15" s="161">
        <f t="shared" si="4"/>
        <v>0.16261415525114156</v>
      </c>
      <c r="I15" s="163" t="s">
        <v>52</v>
      </c>
      <c r="J15" s="79">
        <f t="shared" si="5"/>
        <v>0.16</v>
      </c>
      <c r="K15" s="157"/>
      <c r="L15" s="158">
        <v>0.3</v>
      </c>
      <c r="M15" s="158">
        <v>0.6</v>
      </c>
      <c r="N15" s="156">
        <f t="shared" si="6"/>
        <v>2.3893333333333336E-3</v>
      </c>
      <c r="O15" s="151">
        <f t="shared" si="7"/>
        <v>1.18</v>
      </c>
      <c r="P15" s="151">
        <f t="shared" si="8"/>
        <v>0.39655860349127181</v>
      </c>
      <c r="Q15" s="156">
        <f t="shared" si="9"/>
        <v>9.524094031587698E-3</v>
      </c>
      <c r="R15" s="152">
        <f t="shared" si="10"/>
        <v>3.9860884618810117</v>
      </c>
      <c r="S15" s="156">
        <f t="shared" si="11"/>
        <v>1.1946666666666668E-3</v>
      </c>
      <c r="T15" s="155">
        <f t="shared" si="12"/>
        <v>0.74</v>
      </c>
      <c r="U15" s="154">
        <f t="shared" si="13"/>
        <v>0.36185303514376999</v>
      </c>
      <c r="V15" s="156">
        <f t="shared" si="14"/>
        <v>7.9995668583599574E-3</v>
      </c>
      <c r="W15" s="152">
        <f t="shared" si="15"/>
        <v>6.6960660086718384</v>
      </c>
      <c r="X15" s="158">
        <v>2</v>
      </c>
      <c r="Y15" s="158">
        <v>2</v>
      </c>
      <c r="Z15" s="151">
        <f t="shared" si="16"/>
        <v>5.3410772352764253</v>
      </c>
      <c r="AA15" s="154">
        <f t="shared" si="17"/>
        <v>0.16261415525114156</v>
      </c>
    </row>
    <row r="16" spans="1:29" ht="15" customHeight="1" x14ac:dyDescent="0.25">
      <c r="A16" s="164">
        <v>8</v>
      </c>
      <c r="B16" s="90">
        <v>1.7</v>
      </c>
      <c r="C16" s="90">
        <v>2</v>
      </c>
      <c r="D16" s="161" t="str">
        <f t="shared" si="1"/>
        <v>2D</v>
      </c>
      <c r="E16" s="161" t="str">
        <f t="shared" si="0"/>
        <v>N.A.</v>
      </c>
      <c r="F16" s="161">
        <f t="shared" si="2"/>
        <v>2</v>
      </c>
      <c r="G16" s="162">
        <f t="shared" si="3"/>
        <v>1.1764705882352942</v>
      </c>
      <c r="H16" s="161">
        <f t="shared" si="4"/>
        <v>4.7222222222222228E-2</v>
      </c>
      <c r="I16" s="163" t="s">
        <v>52</v>
      </c>
      <c r="J16" s="79">
        <f t="shared" si="5"/>
        <v>0.12</v>
      </c>
      <c r="K16" s="157"/>
      <c r="L16" s="158">
        <v>0.3</v>
      </c>
      <c r="M16" s="158">
        <v>0.6</v>
      </c>
      <c r="N16" s="156">
        <f t="shared" si="6"/>
        <v>2.8800000000000001E-4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33.27878048780488</v>
      </c>
      <c r="S16" s="156">
        <f t="shared" si="11"/>
        <v>1.44E-4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55.43454545454545</v>
      </c>
      <c r="X16" s="158">
        <v>2</v>
      </c>
      <c r="Y16" s="158">
        <v>2</v>
      </c>
      <c r="Z16" s="151">
        <f t="shared" si="16"/>
        <v>44.356662971175169</v>
      </c>
      <c r="AA16" s="154">
        <f t="shared" si="17"/>
        <v>4.7222222222222228E-2</v>
      </c>
    </row>
    <row r="17" spans="1:27" ht="13.5" x14ac:dyDescent="0.25">
      <c r="A17" s="164">
        <v>9</v>
      </c>
      <c r="B17" s="90">
        <v>2.5</v>
      </c>
      <c r="C17" s="90">
        <v>2</v>
      </c>
      <c r="D17" s="161" t="str">
        <f t="shared" si="1"/>
        <v>2D</v>
      </c>
      <c r="E17" s="161" t="str">
        <f t="shared" si="0"/>
        <v>N.A.</v>
      </c>
      <c r="F17" s="161">
        <f t="shared" si="2"/>
        <v>2.5</v>
      </c>
      <c r="G17" s="162">
        <f t="shared" si="3"/>
        <v>1.25</v>
      </c>
      <c r="H17" s="161">
        <f t="shared" si="4"/>
        <v>5.8201058201058198E-2</v>
      </c>
      <c r="I17" s="163" t="s">
        <v>52</v>
      </c>
      <c r="J17" s="79">
        <f t="shared" si="5"/>
        <v>0.12</v>
      </c>
      <c r="K17" s="157"/>
      <c r="L17" s="158">
        <v>0.3</v>
      </c>
      <c r="M17" s="158">
        <v>0.6</v>
      </c>
      <c r="N17" s="156">
        <f t="shared" si="6"/>
        <v>3.5999999999999991E-4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26.623024390243913</v>
      </c>
      <c r="S17" s="156">
        <f t="shared" si="11"/>
        <v>1.7999999999999996E-4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44.347636363636376</v>
      </c>
      <c r="X17" s="158">
        <v>2</v>
      </c>
      <c r="Y17" s="158">
        <v>2</v>
      </c>
      <c r="Z17" s="151">
        <f t="shared" si="16"/>
        <v>35.485330376940141</v>
      </c>
      <c r="AA17" s="154">
        <f t="shared" si="17"/>
        <v>5.8201058201058198E-2</v>
      </c>
    </row>
    <row r="18" spans="1:27" ht="13.5" x14ac:dyDescent="0.25">
      <c r="A18" s="164">
        <v>10</v>
      </c>
      <c r="B18" s="90">
        <v>3.6</v>
      </c>
      <c r="C18" s="90">
        <v>1.7</v>
      </c>
      <c r="D18" s="161" t="str">
        <f t="shared" si="1"/>
        <v>1D</v>
      </c>
      <c r="E18" s="161">
        <v>28</v>
      </c>
      <c r="F18" s="161">
        <f t="shared" si="2"/>
        <v>1.7</v>
      </c>
      <c r="G18" s="162">
        <f t="shared" si="3"/>
        <v>2.1176470588235294</v>
      </c>
      <c r="H18" s="161">
        <f t="shared" si="4"/>
        <v>6.0714285714285714E-2</v>
      </c>
      <c r="I18" s="163" t="s">
        <v>52</v>
      </c>
      <c r="J18" s="79">
        <v>0.12</v>
      </c>
      <c r="K18" s="157"/>
      <c r="L18" s="158">
        <v>0.3</v>
      </c>
      <c r="M18" s="158">
        <v>0.6</v>
      </c>
      <c r="N18" s="156">
        <f t="shared" si="6"/>
        <v>2.4479999999999999E-4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39.151506456241037</v>
      </c>
      <c r="S18" s="156">
        <f t="shared" si="11"/>
        <v>1.2239999999999999E-4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65.217112299465242</v>
      </c>
      <c r="X18" s="158">
        <v>2</v>
      </c>
      <c r="Y18" s="158">
        <v>2</v>
      </c>
      <c r="Z18" s="151">
        <f t="shared" si="16"/>
        <v>52.18430937785314</v>
      </c>
      <c r="AA18" s="154">
        <f t="shared" si="17"/>
        <v>3.3963675213675215E-2</v>
      </c>
    </row>
    <row r="19" spans="1:27" ht="13.5" x14ac:dyDescent="0.25">
      <c r="A19" s="164">
        <v>11</v>
      </c>
      <c r="B19" s="90">
        <v>1.2</v>
      </c>
      <c r="C19" s="90">
        <v>4.5999999999999996</v>
      </c>
      <c r="D19" s="161" t="str">
        <f t="shared" si="1"/>
        <v>1D</v>
      </c>
      <c r="E19" s="161">
        <v>28</v>
      </c>
      <c r="F19" s="161">
        <f t="shared" si="2"/>
        <v>1.2</v>
      </c>
      <c r="G19" s="162">
        <f t="shared" si="3"/>
        <v>3.833333333333333</v>
      </c>
      <c r="H19" s="161">
        <f t="shared" si="4"/>
        <v>4.2857142857142858E-2</v>
      </c>
      <c r="I19" s="163" t="s">
        <v>52</v>
      </c>
      <c r="J19" s="79">
        <f t="shared" si="5"/>
        <v>0.12</v>
      </c>
      <c r="K19" s="157"/>
      <c r="L19" s="158">
        <v>0.3</v>
      </c>
      <c r="M19" s="158">
        <v>0.6</v>
      </c>
      <c r="N19" s="156">
        <f t="shared" si="6"/>
        <v>1.7279999999999997E-4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55.464634146341481</v>
      </c>
      <c r="S19" s="156">
        <f t="shared" si="11"/>
        <v>8.6399999999999986E-5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92.390909090909105</v>
      </c>
      <c r="X19" s="158">
        <v>2</v>
      </c>
      <c r="Y19" s="158">
        <v>2</v>
      </c>
      <c r="Z19" s="151">
        <f t="shared" si="16"/>
        <v>73.927771618625286</v>
      </c>
      <c r="AA19" s="154">
        <f t="shared" si="17"/>
        <v>1.872340425531915E-2</v>
      </c>
    </row>
    <row r="20" spans="1:27" ht="13.5" x14ac:dyDescent="0.25">
      <c r="A20" s="164">
        <v>12</v>
      </c>
      <c r="B20" s="90">
        <v>4.7</v>
      </c>
      <c r="C20" s="90">
        <v>4.45</v>
      </c>
      <c r="D20" s="161" t="str">
        <f t="shared" si="1"/>
        <v>2D</v>
      </c>
      <c r="E20" s="161" t="str">
        <f t="shared" si="0"/>
        <v>N.A.</v>
      </c>
      <c r="F20" s="161">
        <f t="shared" si="2"/>
        <v>4.7</v>
      </c>
      <c r="G20" s="162">
        <f t="shared" si="3"/>
        <v>1.0561797752808988</v>
      </c>
      <c r="H20" s="161">
        <f t="shared" si="4"/>
        <v>0.11361234567901236</v>
      </c>
      <c r="I20" s="163" t="s">
        <v>52</v>
      </c>
      <c r="J20" s="79">
        <f t="shared" si="5"/>
        <v>0.12</v>
      </c>
      <c r="K20" s="157"/>
      <c r="L20" s="158">
        <v>0.3</v>
      </c>
      <c r="M20" s="158">
        <v>0.6</v>
      </c>
      <c r="N20" s="156">
        <f t="shared" si="6"/>
        <v>6.7679999999999986E-4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14.161183186299953</v>
      </c>
      <c r="S20" s="156">
        <f t="shared" si="11"/>
        <v>3.3839999999999993E-4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23.589168278529986</v>
      </c>
      <c r="X20" s="158">
        <v>2</v>
      </c>
      <c r="Y20" s="158">
        <v>2</v>
      </c>
      <c r="Z20" s="151">
        <f t="shared" si="16"/>
        <v>18.87517573241497</v>
      </c>
      <c r="AA20" s="154">
        <f t="shared" si="17"/>
        <v>0.11361234567901236</v>
      </c>
    </row>
    <row r="21" spans="1:27" ht="13.5" x14ac:dyDescent="0.25">
      <c r="A21" s="164">
        <v>13</v>
      </c>
      <c r="B21" s="90">
        <v>4.2</v>
      </c>
      <c r="C21" s="90">
        <v>5</v>
      </c>
      <c r="D21" s="161" t="str">
        <f t="shared" si="1"/>
        <v>2D</v>
      </c>
      <c r="E21" s="161" t="str">
        <f t="shared" si="0"/>
        <v>N.A.</v>
      </c>
      <c r="F21" s="161">
        <f t="shared" si="2"/>
        <v>5</v>
      </c>
      <c r="G21" s="162">
        <f t="shared" si="3"/>
        <v>1.1904761904761905</v>
      </c>
      <c r="H21" s="161">
        <f t="shared" si="4"/>
        <v>0.11773700305810397</v>
      </c>
      <c r="I21" s="163" t="s">
        <v>52</v>
      </c>
      <c r="J21" s="79">
        <f t="shared" si="5"/>
        <v>0.12</v>
      </c>
      <c r="K21" s="157"/>
      <c r="L21" s="158">
        <v>0.3</v>
      </c>
      <c r="M21" s="158">
        <v>0.6</v>
      </c>
      <c r="N21" s="156">
        <f t="shared" si="6"/>
        <v>7.1999999999999983E-4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13.311512195121956</v>
      </c>
      <c r="S21" s="156">
        <f t="shared" si="11"/>
        <v>3.5999999999999991E-4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22.173818181818188</v>
      </c>
      <c r="X21" s="158">
        <v>2</v>
      </c>
      <c r="Y21" s="158">
        <v>2</v>
      </c>
      <c r="Z21" s="151">
        <f t="shared" si="16"/>
        <v>17.74266518847007</v>
      </c>
      <c r="AA21" s="154">
        <f t="shared" si="17"/>
        <v>0.11773700305810397</v>
      </c>
    </row>
    <row r="22" spans="1:27" ht="13.5" x14ac:dyDescent="0.25">
      <c r="A22" s="164">
        <v>14</v>
      </c>
      <c r="B22" s="90">
        <v>4.7</v>
      </c>
      <c r="C22" s="90">
        <v>4.3</v>
      </c>
      <c r="D22" s="161" t="str">
        <f t="shared" si="1"/>
        <v>2D</v>
      </c>
      <c r="E22" s="161" t="str">
        <f t="shared" si="0"/>
        <v>N.A.</v>
      </c>
      <c r="F22" s="161">
        <f t="shared" si="2"/>
        <v>4.7</v>
      </c>
      <c r="G22" s="162">
        <f t="shared" si="3"/>
        <v>1.0930232558139537</v>
      </c>
      <c r="H22" s="161">
        <f t="shared" si="4"/>
        <v>0.1127904616945713</v>
      </c>
      <c r="I22" s="163" t="s">
        <v>52</v>
      </c>
      <c r="J22" s="79">
        <f t="shared" si="5"/>
        <v>0.12</v>
      </c>
      <c r="K22" s="157"/>
      <c r="L22" s="158">
        <v>0.3</v>
      </c>
      <c r="M22" s="158">
        <v>0.6</v>
      </c>
      <c r="N22" s="156">
        <f t="shared" si="6"/>
        <v>6.7679999999999986E-4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14.161183186299953</v>
      </c>
      <c r="S22" s="156">
        <f t="shared" si="11"/>
        <v>3.3839999999999993E-4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23.589168278529986</v>
      </c>
      <c r="X22" s="158">
        <v>2</v>
      </c>
      <c r="Y22" s="158">
        <v>2</v>
      </c>
      <c r="Z22" s="151">
        <f t="shared" si="16"/>
        <v>18.87517573241497</v>
      </c>
      <c r="AA22" s="154">
        <f t="shared" si="17"/>
        <v>0.1127904616945713</v>
      </c>
    </row>
    <row r="23" spans="1:27" ht="13.5" x14ac:dyDescent="0.25">
      <c r="A23" s="164">
        <v>15</v>
      </c>
      <c r="B23" s="90">
        <v>1.2</v>
      </c>
      <c r="C23" s="90">
        <v>6</v>
      </c>
      <c r="D23" s="161" t="str">
        <f t="shared" si="1"/>
        <v>1D</v>
      </c>
      <c r="E23" s="161">
        <v>28</v>
      </c>
      <c r="F23" s="161">
        <f t="shared" si="2"/>
        <v>1.2</v>
      </c>
      <c r="G23" s="162">
        <f t="shared" si="3"/>
        <v>5</v>
      </c>
      <c r="H23" s="161">
        <f t="shared" si="4"/>
        <v>4.2857142857142858E-2</v>
      </c>
      <c r="I23" s="163" t="s">
        <v>52</v>
      </c>
      <c r="J23" s="79">
        <f t="shared" si="5"/>
        <v>0.12</v>
      </c>
      <c r="K23" s="157"/>
      <c r="L23" s="158">
        <v>0.3</v>
      </c>
      <c r="M23" s="158">
        <v>0.6</v>
      </c>
      <c r="N23" s="156">
        <f t="shared" si="6"/>
        <v>1.7279999999999997E-4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55.464634146341481</v>
      </c>
      <c r="S23" s="156">
        <f t="shared" si="11"/>
        <v>8.6399999999999986E-5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92.390909090909105</v>
      </c>
      <c r="X23" s="158">
        <v>2</v>
      </c>
      <c r="Y23" s="158">
        <v>2</v>
      </c>
      <c r="Z23" s="151">
        <f t="shared" si="16"/>
        <v>73.927771618625286</v>
      </c>
      <c r="AA23" s="154">
        <f t="shared" si="17"/>
        <v>1.6296296296296298E-2</v>
      </c>
    </row>
    <row r="24" spans="1:27" ht="13.5" x14ac:dyDescent="0.25">
      <c r="A24" s="164">
        <v>16</v>
      </c>
      <c r="B24" s="90">
        <v>4.7</v>
      </c>
      <c r="C24" s="90">
        <v>4.8</v>
      </c>
      <c r="D24" s="161" t="str">
        <f t="shared" si="1"/>
        <v>2D</v>
      </c>
      <c r="E24" s="161" t="str">
        <f t="shared" si="0"/>
        <v>N.A.</v>
      </c>
      <c r="F24" s="161">
        <f t="shared" si="2"/>
        <v>4.8</v>
      </c>
      <c r="G24" s="162">
        <f t="shared" si="3"/>
        <v>1.0212765957446808</v>
      </c>
      <c r="H24" s="161">
        <f t="shared" si="4"/>
        <v>0.11683615819209041</v>
      </c>
      <c r="I24" s="163" t="s">
        <v>52</v>
      </c>
      <c r="J24" s="79">
        <f t="shared" si="5"/>
        <v>0.12</v>
      </c>
      <c r="K24" s="157"/>
      <c r="L24" s="158">
        <v>0.3</v>
      </c>
      <c r="M24" s="158">
        <v>0.6</v>
      </c>
      <c r="N24" s="156">
        <f t="shared" si="6"/>
        <v>6.9119999999999989E-4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13.86615853658537</v>
      </c>
      <c r="S24" s="156">
        <f t="shared" si="11"/>
        <v>3.4559999999999994E-4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23.097727272727276</v>
      </c>
      <c r="X24" s="158">
        <v>2</v>
      </c>
      <c r="Y24" s="158">
        <v>2</v>
      </c>
      <c r="Z24" s="151">
        <f t="shared" si="16"/>
        <v>18.481942904656322</v>
      </c>
      <c r="AA24" s="154">
        <f t="shared" si="17"/>
        <v>0.11683615819209041</v>
      </c>
    </row>
    <row r="25" spans="1:27" ht="13.5" x14ac:dyDescent="0.25">
      <c r="A25" s="164">
        <v>17</v>
      </c>
      <c r="B25" s="90">
        <v>3.4</v>
      </c>
      <c r="C25" s="90">
        <v>2.5</v>
      </c>
      <c r="D25" s="161" t="str">
        <f t="shared" si="1"/>
        <v>2D</v>
      </c>
      <c r="E25" s="161" t="str">
        <f t="shared" si="0"/>
        <v>N.A.</v>
      </c>
      <c r="F25" s="161">
        <f t="shared" si="2"/>
        <v>3.4</v>
      </c>
      <c r="G25" s="162">
        <f t="shared" si="3"/>
        <v>1.3599999999999999</v>
      </c>
      <c r="H25" s="161">
        <f t="shared" si="4"/>
        <v>7.7529021558872313E-2</v>
      </c>
      <c r="I25" s="163" t="s">
        <v>52</v>
      </c>
      <c r="J25" s="79">
        <f t="shared" si="5"/>
        <v>0.12</v>
      </c>
      <c r="K25" s="157"/>
      <c r="L25" s="158">
        <v>0.3</v>
      </c>
      <c r="M25" s="158">
        <v>0.6</v>
      </c>
      <c r="N25" s="156">
        <f t="shared" si="6"/>
        <v>4.8959999999999997E-4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19.575753228120519</v>
      </c>
      <c r="S25" s="156">
        <f t="shared" si="11"/>
        <v>2.4479999999999999E-4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32.608556149732621</v>
      </c>
      <c r="X25" s="158">
        <v>2</v>
      </c>
      <c r="Y25" s="158">
        <v>2</v>
      </c>
      <c r="Z25" s="151">
        <f t="shared" si="16"/>
        <v>26.09215468892657</v>
      </c>
      <c r="AA25" s="154">
        <f t="shared" si="17"/>
        <v>7.7529021558872313E-2</v>
      </c>
    </row>
    <row r="26" spans="1:27" ht="13.5" x14ac:dyDescent="0.25">
      <c r="A26" s="164">
        <v>18</v>
      </c>
      <c r="B26" s="90">
        <v>1.7</v>
      </c>
      <c r="C26" s="90">
        <v>2.5</v>
      </c>
      <c r="D26" s="161" t="str">
        <f t="shared" si="1"/>
        <v>2D</v>
      </c>
      <c r="E26" s="161" t="str">
        <f t="shared" si="0"/>
        <v>N.A.</v>
      </c>
      <c r="F26" s="161">
        <f t="shared" si="2"/>
        <v>2.5</v>
      </c>
      <c r="G26" s="162">
        <f t="shared" si="3"/>
        <v>1.4705882352941178</v>
      </c>
      <c r="H26" s="161">
        <f t="shared" si="4"/>
        <v>5.5854241338112308E-2</v>
      </c>
      <c r="I26" s="163" t="s">
        <v>52</v>
      </c>
      <c r="J26" s="79">
        <f t="shared" si="5"/>
        <v>0.12</v>
      </c>
      <c r="K26" s="157"/>
      <c r="L26" s="158">
        <v>0.3</v>
      </c>
      <c r="M26" s="158">
        <v>0.6</v>
      </c>
      <c r="N26" s="156">
        <f t="shared" si="6"/>
        <v>3.5999999999999991E-4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26.623024390243913</v>
      </c>
      <c r="S26" s="156">
        <f t="shared" si="11"/>
        <v>1.7999999999999996E-4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44.347636363636376</v>
      </c>
      <c r="X26" s="158">
        <v>2</v>
      </c>
      <c r="Y26" s="158">
        <v>2</v>
      </c>
      <c r="Z26" s="151">
        <f t="shared" si="16"/>
        <v>35.485330376940141</v>
      </c>
      <c r="AA26" s="154">
        <f t="shared" si="17"/>
        <v>5.5854241338112308E-2</v>
      </c>
    </row>
    <row r="27" spans="1:27" ht="13.5" x14ac:dyDescent="0.25">
      <c r="A27" s="164">
        <v>19</v>
      </c>
      <c r="B27" s="90">
        <v>4.7</v>
      </c>
      <c r="C27" s="90">
        <v>4.5999999999999996</v>
      </c>
      <c r="D27" s="161" t="str">
        <f t="shared" si="1"/>
        <v>2D</v>
      </c>
      <c r="E27" s="161" t="str">
        <f t="shared" si="0"/>
        <v>N.A.</v>
      </c>
      <c r="F27" s="161">
        <f t="shared" si="2"/>
        <v>4.7</v>
      </c>
      <c r="G27" s="162">
        <f t="shared" si="3"/>
        <v>1.0217391304347827</v>
      </c>
      <c r="H27" s="161">
        <f t="shared" si="4"/>
        <v>0.11439153439153441</v>
      </c>
      <c r="I27" s="163" t="s">
        <v>52</v>
      </c>
      <c r="J27" s="79">
        <f t="shared" si="5"/>
        <v>0.12</v>
      </c>
      <c r="K27" s="157"/>
      <c r="L27" s="158">
        <v>0.3</v>
      </c>
      <c r="M27" s="158">
        <v>0.6</v>
      </c>
      <c r="N27" s="156">
        <f t="shared" si="6"/>
        <v>6.7679999999999986E-4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14.161183186299953</v>
      </c>
      <c r="S27" s="156">
        <f t="shared" si="11"/>
        <v>3.3839999999999993E-4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23.589168278529986</v>
      </c>
      <c r="X27" s="158">
        <v>2</v>
      </c>
      <c r="Y27" s="158">
        <v>2</v>
      </c>
      <c r="Z27" s="151">
        <f t="shared" si="16"/>
        <v>18.87517573241497</v>
      </c>
      <c r="AA27" s="154">
        <f t="shared" si="17"/>
        <v>0.11439153439153441</v>
      </c>
    </row>
    <row r="28" spans="1:27" ht="13.5" x14ac:dyDescent="0.25">
      <c r="A28" s="164">
        <v>20</v>
      </c>
      <c r="B28" s="90">
        <v>1.5</v>
      </c>
      <c r="C28" s="90">
        <v>1.8</v>
      </c>
      <c r="D28" s="161" t="str">
        <f t="shared" si="1"/>
        <v>2D</v>
      </c>
      <c r="E28" s="161" t="str">
        <f t="shared" si="0"/>
        <v>N.A.</v>
      </c>
      <c r="F28" s="161">
        <f t="shared" si="2"/>
        <v>1.8</v>
      </c>
      <c r="G28" s="162">
        <f t="shared" si="3"/>
        <v>1.2</v>
      </c>
      <c r="H28" s="161">
        <f t="shared" si="4"/>
        <v>4.2307692307692317E-2</v>
      </c>
      <c r="I28" s="163" t="s">
        <v>52</v>
      </c>
      <c r="J28" s="79">
        <f t="shared" si="5"/>
        <v>0.12</v>
      </c>
      <c r="K28" s="157"/>
      <c r="L28" s="158">
        <v>0.3</v>
      </c>
      <c r="M28" s="158">
        <v>0.6</v>
      </c>
      <c r="N28" s="156">
        <f t="shared" si="6"/>
        <v>2.5919999999999996E-4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36.976422764227657</v>
      </c>
      <c r="S28" s="156">
        <f t="shared" si="11"/>
        <v>1.2959999999999998E-4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61.593939393939401</v>
      </c>
      <c r="X28" s="158">
        <v>2</v>
      </c>
      <c r="Y28" s="158">
        <v>2</v>
      </c>
      <c r="Z28" s="151">
        <f t="shared" si="16"/>
        <v>49.285181079083529</v>
      </c>
      <c r="AA28" s="154">
        <f t="shared" si="17"/>
        <v>4.2307692307692317E-2</v>
      </c>
    </row>
    <row r="29" spans="1:27" ht="13.5" x14ac:dyDescent="0.25">
      <c r="A29" s="164">
        <v>21</v>
      </c>
      <c r="B29" s="90">
        <v>3</v>
      </c>
      <c r="C29" s="90">
        <v>3.1</v>
      </c>
      <c r="D29" s="161" t="str">
        <f t="shared" si="1"/>
        <v>2D</v>
      </c>
      <c r="E29" s="161" t="str">
        <f t="shared" si="0"/>
        <v>N.A.</v>
      </c>
      <c r="F29" s="161">
        <f t="shared" si="2"/>
        <v>3.1</v>
      </c>
      <c r="G29" s="162">
        <f t="shared" si="3"/>
        <v>1.0333333333333334</v>
      </c>
      <c r="H29" s="161">
        <f t="shared" si="4"/>
        <v>7.5275938189845487E-2</v>
      </c>
      <c r="I29" s="163" t="s">
        <v>52</v>
      </c>
      <c r="J29" s="79">
        <f t="shared" si="5"/>
        <v>0.12</v>
      </c>
      <c r="K29" s="157"/>
      <c r="L29" s="158">
        <v>0.3</v>
      </c>
      <c r="M29" s="158">
        <v>0.6</v>
      </c>
      <c r="N29" s="156">
        <f t="shared" si="6"/>
        <v>4.4640000000000001E-4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21.470180959874117</v>
      </c>
      <c r="S29" s="156">
        <f t="shared" si="11"/>
        <v>2.232E-4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35.764222873900295</v>
      </c>
      <c r="X29" s="158">
        <v>2</v>
      </c>
      <c r="Y29" s="158">
        <v>2</v>
      </c>
      <c r="Z29" s="151">
        <f t="shared" si="16"/>
        <v>28.617201916887204</v>
      </c>
      <c r="AA29" s="154">
        <f t="shared" si="17"/>
        <v>7.5275938189845487E-2</v>
      </c>
    </row>
    <row r="30" spans="1:27" ht="13.5" x14ac:dyDescent="0.25">
      <c r="A30" s="164">
        <v>22</v>
      </c>
      <c r="B30" s="90">
        <v>1</v>
      </c>
      <c r="C30" s="90">
        <v>1</v>
      </c>
      <c r="D30" s="161" t="str">
        <f t="shared" si="1"/>
        <v>2D</v>
      </c>
      <c r="E30" s="161" t="str">
        <f t="shared" si="0"/>
        <v>N.A.</v>
      </c>
      <c r="F30" s="161">
        <f t="shared" si="2"/>
        <v>1</v>
      </c>
      <c r="G30" s="162">
        <f t="shared" si="3"/>
        <v>1</v>
      </c>
      <c r="H30" s="161">
        <f t="shared" si="4"/>
        <v>2.4444444444444446E-2</v>
      </c>
      <c r="I30" s="163" t="s">
        <v>52</v>
      </c>
      <c r="J30" s="79">
        <f t="shared" si="5"/>
        <v>0.12</v>
      </c>
      <c r="K30" s="157"/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ht="13.5" x14ac:dyDescent="0.25">
      <c r="A31" s="164">
        <v>23</v>
      </c>
      <c r="B31" s="90">
        <v>1</v>
      </c>
      <c r="C31" s="90">
        <v>1</v>
      </c>
      <c r="D31" s="161" t="str">
        <f t="shared" si="1"/>
        <v>2D</v>
      </c>
      <c r="E31" s="161" t="str">
        <f t="shared" si="0"/>
        <v>N.A.</v>
      </c>
      <c r="F31" s="161">
        <f t="shared" si="2"/>
        <v>1</v>
      </c>
      <c r="G31" s="162">
        <f t="shared" si="3"/>
        <v>1</v>
      </c>
      <c r="H31" s="161">
        <f t="shared" si="4"/>
        <v>2.4444444444444446E-2</v>
      </c>
      <c r="I31" s="163" t="s">
        <v>52</v>
      </c>
      <c r="J31" s="79">
        <f t="shared" si="5"/>
        <v>0.12</v>
      </c>
      <c r="K31" s="157"/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ht="13.5" x14ac:dyDescent="0.25">
      <c r="A32" s="164">
        <v>24</v>
      </c>
      <c r="B32" s="90">
        <v>1</v>
      </c>
      <c r="C32" s="90">
        <v>1</v>
      </c>
      <c r="D32" s="161" t="str">
        <f t="shared" si="1"/>
        <v>2D</v>
      </c>
      <c r="E32" s="161" t="str">
        <f t="shared" si="0"/>
        <v>N.A.</v>
      </c>
      <c r="F32" s="161">
        <f t="shared" si="2"/>
        <v>1</v>
      </c>
      <c r="G32" s="162">
        <f t="shared" si="3"/>
        <v>1</v>
      </c>
      <c r="H32" s="161">
        <f t="shared" si="4"/>
        <v>2.4444444444444446E-2</v>
      </c>
      <c r="I32" s="163" t="s">
        <v>52</v>
      </c>
      <c r="J32" s="79">
        <f t="shared" si="5"/>
        <v>0.12</v>
      </c>
      <c r="K32" s="157"/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ht="13.5" x14ac:dyDescent="0.25">
      <c r="A33" s="164">
        <v>25</v>
      </c>
      <c r="B33" s="90">
        <v>1</v>
      </c>
      <c r="C33" s="90">
        <v>1</v>
      </c>
      <c r="D33" s="161" t="str">
        <f t="shared" si="1"/>
        <v>2D</v>
      </c>
      <c r="E33" s="161" t="str">
        <f t="shared" si="0"/>
        <v>N.A.</v>
      </c>
      <c r="F33" s="161">
        <f t="shared" si="2"/>
        <v>1</v>
      </c>
      <c r="G33" s="162">
        <f t="shared" si="3"/>
        <v>1</v>
      </c>
      <c r="H33" s="161">
        <f t="shared" si="4"/>
        <v>2.4444444444444446E-2</v>
      </c>
      <c r="I33" s="163" t="s">
        <v>52</v>
      </c>
      <c r="J33" s="79">
        <f t="shared" si="5"/>
        <v>0.12</v>
      </c>
      <c r="K33" s="157"/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ht="13.5" x14ac:dyDescent="0.25">
      <c r="A34" s="164">
        <v>26</v>
      </c>
      <c r="B34" s="90">
        <v>1</v>
      </c>
      <c r="C34" s="90">
        <v>1</v>
      </c>
      <c r="D34" s="161" t="str">
        <f t="shared" si="1"/>
        <v>2D</v>
      </c>
      <c r="E34" s="161" t="str">
        <f t="shared" si="0"/>
        <v>N.A.</v>
      </c>
      <c r="F34" s="161">
        <f t="shared" si="2"/>
        <v>1</v>
      </c>
      <c r="G34" s="162">
        <f t="shared" si="3"/>
        <v>1</v>
      </c>
      <c r="H34" s="161">
        <f t="shared" si="4"/>
        <v>2.4444444444444446E-2</v>
      </c>
      <c r="I34" s="163" t="s">
        <v>52</v>
      </c>
      <c r="J34" s="79">
        <f t="shared" si="5"/>
        <v>0.12</v>
      </c>
      <c r="K34" s="157"/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ht="13.5" x14ac:dyDescent="0.25">
      <c r="A35" s="164">
        <v>27</v>
      </c>
      <c r="B35" s="90">
        <v>1</v>
      </c>
      <c r="C35" s="90">
        <v>1</v>
      </c>
      <c r="D35" s="161" t="str">
        <f t="shared" si="1"/>
        <v>2D</v>
      </c>
      <c r="E35" s="161" t="str">
        <f t="shared" si="0"/>
        <v>N.A.</v>
      </c>
      <c r="F35" s="161">
        <f t="shared" si="2"/>
        <v>1</v>
      </c>
      <c r="G35" s="162">
        <f t="shared" si="3"/>
        <v>1</v>
      </c>
      <c r="H35" s="161">
        <f t="shared" si="4"/>
        <v>2.4444444444444446E-2</v>
      </c>
      <c r="I35" s="163" t="s">
        <v>52</v>
      </c>
      <c r="J35" s="79">
        <f t="shared" si="5"/>
        <v>0.12</v>
      </c>
      <c r="K35" s="157"/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ht="13.5" x14ac:dyDescent="0.25">
      <c r="A36" s="164">
        <v>28</v>
      </c>
      <c r="B36" s="90">
        <v>1</v>
      </c>
      <c r="C36" s="90">
        <v>1</v>
      </c>
      <c r="D36" s="161" t="str">
        <f t="shared" si="1"/>
        <v>2D</v>
      </c>
      <c r="E36" s="161" t="str">
        <f t="shared" si="0"/>
        <v>N.A.</v>
      </c>
      <c r="F36" s="161">
        <f t="shared" si="2"/>
        <v>1</v>
      </c>
      <c r="G36" s="162">
        <f t="shared" si="3"/>
        <v>1</v>
      </c>
      <c r="H36" s="161">
        <f t="shared" si="4"/>
        <v>2.4444444444444446E-2</v>
      </c>
      <c r="I36" s="163" t="s">
        <v>52</v>
      </c>
      <c r="J36" s="79">
        <f t="shared" si="5"/>
        <v>0.12</v>
      </c>
      <c r="K36" s="157"/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ht="13.5" x14ac:dyDescent="0.25">
      <c r="A37" s="164">
        <v>29</v>
      </c>
      <c r="B37" s="90">
        <v>1</v>
      </c>
      <c r="C37" s="90">
        <v>1</v>
      </c>
      <c r="D37" s="161" t="str">
        <f t="shared" si="1"/>
        <v>2D</v>
      </c>
      <c r="E37" s="161" t="str">
        <f t="shared" si="0"/>
        <v>N.A.</v>
      </c>
      <c r="F37" s="161">
        <f t="shared" si="2"/>
        <v>1</v>
      </c>
      <c r="G37" s="162">
        <f t="shared" si="3"/>
        <v>1</v>
      </c>
      <c r="H37" s="161">
        <f t="shared" si="4"/>
        <v>2.4444444444444446E-2</v>
      </c>
      <c r="I37" s="163" t="s">
        <v>52</v>
      </c>
      <c r="J37" s="79">
        <f t="shared" si="5"/>
        <v>0.12</v>
      </c>
      <c r="K37" s="157"/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ht="13.5" x14ac:dyDescent="0.25">
      <c r="A38" s="164">
        <v>30</v>
      </c>
      <c r="B38" s="90">
        <v>1</v>
      </c>
      <c r="C38" s="90">
        <v>1</v>
      </c>
      <c r="D38" s="161" t="str">
        <f t="shared" si="1"/>
        <v>2D</v>
      </c>
      <c r="E38" s="161" t="str">
        <f t="shared" si="0"/>
        <v>N.A.</v>
      </c>
      <c r="F38" s="161">
        <f t="shared" si="2"/>
        <v>1</v>
      </c>
      <c r="G38" s="162">
        <f t="shared" si="3"/>
        <v>1</v>
      </c>
      <c r="H38" s="161">
        <f t="shared" si="4"/>
        <v>2.4444444444444446E-2</v>
      </c>
      <c r="I38" s="163" t="s">
        <v>52</v>
      </c>
      <c r="J38" s="79">
        <f t="shared" si="5"/>
        <v>0.12</v>
      </c>
      <c r="K38" s="157"/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ht="13.5" x14ac:dyDescent="0.25">
      <c r="A39" s="164">
        <v>31</v>
      </c>
      <c r="B39" s="90">
        <v>1</v>
      </c>
      <c r="C39" s="90">
        <v>1</v>
      </c>
      <c r="D39" s="161" t="str">
        <f t="shared" si="1"/>
        <v>2D</v>
      </c>
      <c r="E39" s="161" t="str">
        <f t="shared" si="0"/>
        <v>N.A.</v>
      </c>
      <c r="F39" s="161">
        <f t="shared" si="2"/>
        <v>1</v>
      </c>
      <c r="G39" s="162">
        <f t="shared" si="3"/>
        <v>1</v>
      </c>
      <c r="H39" s="161">
        <f t="shared" si="4"/>
        <v>2.4444444444444446E-2</v>
      </c>
      <c r="I39" s="163" t="s">
        <v>52</v>
      </c>
      <c r="J39" s="79">
        <f t="shared" si="5"/>
        <v>0.12</v>
      </c>
      <c r="K39" s="157"/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ht="13.5" x14ac:dyDescent="0.25">
      <c r="A40" s="164">
        <v>32</v>
      </c>
      <c r="B40" s="90">
        <v>1</v>
      </c>
      <c r="C40" s="90">
        <v>1</v>
      </c>
      <c r="D40" s="161" t="str">
        <f t="shared" si="1"/>
        <v>2D</v>
      </c>
      <c r="E40" s="161" t="str">
        <f t="shared" si="0"/>
        <v>N.A.</v>
      </c>
      <c r="F40" s="161">
        <f t="shared" si="2"/>
        <v>1</v>
      </c>
      <c r="G40" s="162">
        <f t="shared" si="3"/>
        <v>1</v>
      </c>
      <c r="H40" s="161">
        <f t="shared" si="4"/>
        <v>2.4444444444444446E-2</v>
      </c>
      <c r="I40" s="163" t="s">
        <v>52</v>
      </c>
      <c r="J40" s="79">
        <f t="shared" si="5"/>
        <v>0.12</v>
      </c>
      <c r="K40" s="157"/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ht="13.5" x14ac:dyDescent="0.25">
      <c r="A41" s="164">
        <v>33</v>
      </c>
      <c r="B41" s="90">
        <v>1</v>
      </c>
      <c r="C41" s="90">
        <v>1</v>
      </c>
      <c r="D41" s="161" t="str">
        <f t="shared" si="1"/>
        <v>2D</v>
      </c>
      <c r="E41" s="161" t="str">
        <f t="shared" si="0"/>
        <v>N.A.</v>
      </c>
      <c r="F41" s="161">
        <f t="shared" si="2"/>
        <v>1</v>
      </c>
      <c r="G41" s="162">
        <f t="shared" si="3"/>
        <v>1</v>
      </c>
      <c r="H41" s="161">
        <f t="shared" si="4"/>
        <v>2.4444444444444446E-2</v>
      </c>
      <c r="I41" s="163" t="s">
        <v>52</v>
      </c>
      <c r="J41" s="79">
        <f t="shared" si="5"/>
        <v>0.12</v>
      </c>
      <c r="K41" s="157"/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ht="13.5" x14ac:dyDescent="0.25">
      <c r="A42" s="164">
        <v>34</v>
      </c>
      <c r="B42" s="90">
        <v>1</v>
      </c>
      <c r="C42" s="90">
        <v>1</v>
      </c>
      <c r="D42" s="161" t="str">
        <f t="shared" si="1"/>
        <v>2D</v>
      </c>
      <c r="E42" s="161" t="str">
        <f t="shared" si="0"/>
        <v>N.A.</v>
      </c>
      <c r="F42" s="161">
        <f t="shared" si="2"/>
        <v>1</v>
      </c>
      <c r="G42" s="162">
        <f t="shared" si="3"/>
        <v>1</v>
      </c>
      <c r="H42" s="161">
        <f t="shared" si="4"/>
        <v>2.4444444444444446E-2</v>
      </c>
      <c r="I42" s="163" t="s">
        <v>52</v>
      </c>
      <c r="J42" s="79">
        <f t="shared" si="5"/>
        <v>0.12</v>
      </c>
      <c r="K42" s="157"/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ht="13.5" x14ac:dyDescent="0.25">
      <c r="A43" s="164">
        <v>35</v>
      </c>
      <c r="B43" s="90">
        <v>1</v>
      </c>
      <c r="C43" s="90">
        <v>1</v>
      </c>
      <c r="D43" s="161" t="str">
        <f t="shared" si="1"/>
        <v>2D</v>
      </c>
      <c r="E43" s="161" t="str">
        <f t="shared" si="0"/>
        <v>N.A.</v>
      </c>
      <c r="F43" s="161">
        <f t="shared" si="2"/>
        <v>1</v>
      </c>
      <c r="G43" s="162">
        <f t="shared" si="3"/>
        <v>1</v>
      </c>
      <c r="H43" s="161">
        <f t="shared" si="4"/>
        <v>2.4444444444444446E-2</v>
      </c>
      <c r="I43" s="163" t="s">
        <v>52</v>
      </c>
      <c r="J43" s="79">
        <f t="shared" si="5"/>
        <v>0.12</v>
      </c>
      <c r="K43" s="157"/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ht="13.5" x14ac:dyDescent="0.25">
      <c r="A44" s="164">
        <v>36</v>
      </c>
      <c r="B44" s="90">
        <v>1</v>
      </c>
      <c r="C44" s="90">
        <v>1</v>
      </c>
      <c r="D44" s="161" t="str">
        <f t="shared" si="1"/>
        <v>2D</v>
      </c>
      <c r="E44" s="161" t="str">
        <f t="shared" si="0"/>
        <v>N.A.</v>
      </c>
      <c r="F44" s="161">
        <f t="shared" si="2"/>
        <v>1</v>
      </c>
      <c r="G44" s="162">
        <f t="shared" si="3"/>
        <v>1</v>
      </c>
      <c r="H44" s="161">
        <f t="shared" si="4"/>
        <v>2.4444444444444446E-2</v>
      </c>
      <c r="I44" s="163" t="s">
        <v>52</v>
      </c>
      <c r="J44" s="79">
        <f t="shared" si="5"/>
        <v>0.12</v>
      </c>
      <c r="K44" s="157"/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ht="13.5" x14ac:dyDescent="0.25">
      <c r="A45" s="164">
        <v>37</v>
      </c>
      <c r="B45" s="90">
        <v>1</v>
      </c>
      <c r="C45" s="90">
        <v>1</v>
      </c>
      <c r="D45" s="161" t="str">
        <f t="shared" si="1"/>
        <v>2D</v>
      </c>
      <c r="E45" s="161" t="str">
        <f t="shared" si="0"/>
        <v>N.A.</v>
      </c>
      <c r="F45" s="161">
        <f t="shared" si="2"/>
        <v>1</v>
      </c>
      <c r="G45" s="162">
        <f t="shared" si="3"/>
        <v>1</v>
      </c>
      <c r="H45" s="161">
        <f t="shared" si="4"/>
        <v>2.4444444444444446E-2</v>
      </c>
      <c r="I45" s="163" t="s">
        <v>52</v>
      </c>
      <c r="J45" s="79">
        <f t="shared" si="5"/>
        <v>0.12</v>
      </c>
      <c r="K45" s="157"/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ht="13.5" x14ac:dyDescent="0.25">
      <c r="A46" s="164">
        <v>38</v>
      </c>
      <c r="B46" s="90">
        <v>1</v>
      </c>
      <c r="C46" s="90">
        <v>1</v>
      </c>
      <c r="D46" s="161" t="str">
        <f t="shared" si="1"/>
        <v>2D</v>
      </c>
      <c r="E46" s="161" t="str">
        <f t="shared" si="0"/>
        <v>N.A.</v>
      </c>
      <c r="F46" s="161">
        <f t="shared" si="2"/>
        <v>1</v>
      </c>
      <c r="G46" s="162">
        <f t="shared" si="3"/>
        <v>1</v>
      </c>
      <c r="H46" s="161">
        <f t="shared" si="4"/>
        <v>2.4444444444444446E-2</v>
      </c>
      <c r="I46" s="163" t="s">
        <v>52</v>
      </c>
      <c r="J46" s="79">
        <f t="shared" si="5"/>
        <v>0.12</v>
      </c>
      <c r="K46" s="157"/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ht="13.5" x14ac:dyDescent="0.25">
      <c r="A47" s="164">
        <v>39</v>
      </c>
      <c r="B47" s="90">
        <v>1</v>
      </c>
      <c r="C47" s="90">
        <v>1</v>
      </c>
      <c r="D47" s="161" t="str">
        <f t="shared" si="1"/>
        <v>2D</v>
      </c>
      <c r="E47" s="161" t="str">
        <f t="shared" si="0"/>
        <v>N.A.</v>
      </c>
      <c r="F47" s="161">
        <f t="shared" si="2"/>
        <v>1</v>
      </c>
      <c r="G47" s="162">
        <f t="shared" si="3"/>
        <v>1</v>
      </c>
      <c r="H47" s="161">
        <f t="shared" si="4"/>
        <v>2.4444444444444446E-2</v>
      </c>
      <c r="I47" s="163" t="s">
        <v>52</v>
      </c>
      <c r="J47" s="79">
        <f t="shared" si="5"/>
        <v>0.12</v>
      </c>
      <c r="K47" s="157"/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ht="13.5" x14ac:dyDescent="0.25">
      <c r="A48" s="164">
        <v>40</v>
      </c>
      <c r="B48" s="90">
        <v>1</v>
      </c>
      <c r="C48" s="90">
        <v>1</v>
      </c>
      <c r="D48" s="161" t="str">
        <f t="shared" si="1"/>
        <v>2D</v>
      </c>
      <c r="E48" s="161" t="str">
        <f t="shared" si="0"/>
        <v>N.A.</v>
      </c>
      <c r="F48" s="161">
        <f t="shared" si="2"/>
        <v>1</v>
      </c>
      <c r="G48" s="162">
        <f t="shared" si="3"/>
        <v>1</v>
      </c>
      <c r="H48" s="161">
        <f t="shared" si="4"/>
        <v>2.4444444444444446E-2</v>
      </c>
      <c r="I48" s="163" t="s">
        <v>52</v>
      </c>
      <c r="J48" s="79">
        <f t="shared" si="5"/>
        <v>0.12</v>
      </c>
      <c r="K48" s="157"/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ht="13.5" x14ac:dyDescent="0.25">
      <c r="A49" s="164">
        <v>41</v>
      </c>
      <c r="B49" s="90">
        <v>1</v>
      </c>
      <c r="C49" s="90">
        <v>1</v>
      </c>
      <c r="D49" s="161" t="str">
        <f t="shared" si="1"/>
        <v>2D</v>
      </c>
      <c r="E49" s="161" t="str">
        <f t="shared" si="0"/>
        <v>N.A.</v>
      </c>
      <c r="F49" s="161">
        <f t="shared" si="2"/>
        <v>1</v>
      </c>
      <c r="G49" s="162">
        <f t="shared" si="3"/>
        <v>1</v>
      </c>
      <c r="H49" s="161">
        <f t="shared" si="4"/>
        <v>2.4444444444444446E-2</v>
      </c>
      <c r="I49" s="163" t="s">
        <v>52</v>
      </c>
      <c r="J49" s="79">
        <f t="shared" si="5"/>
        <v>0.12</v>
      </c>
      <c r="K49" s="157"/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ht="13.5" x14ac:dyDescent="0.25">
      <c r="A50" s="164">
        <v>42</v>
      </c>
      <c r="B50" s="90">
        <v>1</v>
      </c>
      <c r="C50" s="90">
        <v>1</v>
      </c>
      <c r="D50" s="161" t="str">
        <f t="shared" si="1"/>
        <v>2D</v>
      </c>
      <c r="E50" s="161" t="str">
        <f t="shared" si="0"/>
        <v>N.A.</v>
      </c>
      <c r="F50" s="161">
        <f t="shared" si="2"/>
        <v>1</v>
      </c>
      <c r="G50" s="162">
        <f t="shared" si="3"/>
        <v>1</v>
      </c>
      <c r="H50" s="161">
        <f t="shared" si="4"/>
        <v>2.4444444444444446E-2</v>
      </c>
      <c r="I50" s="163" t="s">
        <v>52</v>
      </c>
      <c r="J50" s="79">
        <f t="shared" si="5"/>
        <v>0.12</v>
      </c>
      <c r="K50" s="157"/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ht="13.5" x14ac:dyDescent="0.25">
      <c r="A51" s="164">
        <v>43</v>
      </c>
      <c r="B51" s="90">
        <v>1</v>
      </c>
      <c r="C51" s="90">
        <v>1</v>
      </c>
      <c r="D51" s="161" t="str">
        <f t="shared" si="1"/>
        <v>2D</v>
      </c>
      <c r="E51" s="161" t="str">
        <f t="shared" si="0"/>
        <v>N.A.</v>
      </c>
      <c r="F51" s="161">
        <f t="shared" si="2"/>
        <v>1</v>
      </c>
      <c r="G51" s="162">
        <f t="shared" si="3"/>
        <v>1</v>
      </c>
      <c r="H51" s="161">
        <f t="shared" si="4"/>
        <v>2.4444444444444446E-2</v>
      </c>
      <c r="I51" s="163" t="s">
        <v>52</v>
      </c>
      <c r="J51" s="79">
        <f t="shared" si="5"/>
        <v>0.12</v>
      </c>
      <c r="K51" s="157"/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ht="13.5" x14ac:dyDescent="0.25">
      <c r="A52" s="164">
        <v>44</v>
      </c>
      <c r="B52" s="90">
        <v>1</v>
      </c>
      <c r="C52" s="90">
        <v>1</v>
      </c>
      <c r="D52" s="161" t="str">
        <f t="shared" si="1"/>
        <v>2D</v>
      </c>
      <c r="E52" s="161" t="str">
        <f t="shared" si="0"/>
        <v>N.A.</v>
      </c>
      <c r="F52" s="161">
        <f t="shared" si="2"/>
        <v>1</v>
      </c>
      <c r="G52" s="162">
        <f t="shared" si="3"/>
        <v>1</v>
      </c>
      <c r="H52" s="161">
        <f t="shared" si="4"/>
        <v>2.4444444444444446E-2</v>
      </c>
      <c r="I52" s="163" t="s">
        <v>52</v>
      </c>
      <c r="J52" s="79">
        <f t="shared" si="5"/>
        <v>0.12</v>
      </c>
      <c r="K52" s="157"/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ht="13.5" x14ac:dyDescent="0.25">
      <c r="A53" s="164">
        <v>45</v>
      </c>
      <c r="B53" s="90">
        <v>1</v>
      </c>
      <c r="C53" s="90">
        <v>1</v>
      </c>
      <c r="D53" s="161" t="str">
        <f t="shared" si="1"/>
        <v>2D</v>
      </c>
      <c r="E53" s="161" t="str">
        <f t="shared" si="0"/>
        <v>N.A.</v>
      </c>
      <c r="F53" s="161">
        <f t="shared" si="2"/>
        <v>1</v>
      </c>
      <c r="G53" s="162">
        <f t="shared" si="3"/>
        <v>1</v>
      </c>
      <c r="H53" s="161">
        <f t="shared" si="4"/>
        <v>2.4444444444444446E-2</v>
      </c>
      <c r="I53" s="163" t="s">
        <v>52</v>
      </c>
      <c r="J53" s="79">
        <f t="shared" si="5"/>
        <v>0.12</v>
      </c>
      <c r="K53" s="157"/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ht="13.5" x14ac:dyDescent="0.25">
      <c r="A54" s="164">
        <v>46</v>
      </c>
      <c r="B54" s="90">
        <v>1</v>
      </c>
      <c r="C54" s="90">
        <v>1</v>
      </c>
      <c r="D54" s="161" t="str">
        <f t="shared" si="1"/>
        <v>2D</v>
      </c>
      <c r="E54" s="161" t="str">
        <f t="shared" si="0"/>
        <v>N.A.</v>
      </c>
      <c r="F54" s="161">
        <f t="shared" si="2"/>
        <v>1</v>
      </c>
      <c r="G54" s="162">
        <f t="shared" si="3"/>
        <v>1</v>
      </c>
      <c r="H54" s="161">
        <f t="shared" si="4"/>
        <v>2.4444444444444446E-2</v>
      </c>
      <c r="I54" s="163" t="s">
        <v>52</v>
      </c>
      <c r="J54" s="79">
        <f t="shared" si="5"/>
        <v>0.12</v>
      </c>
      <c r="K54" s="157"/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ht="13.5" x14ac:dyDescent="0.25">
      <c r="A55" s="164">
        <v>47</v>
      </c>
      <c r="B55" s="90">
        <v>1</v>
      </c>
      <c r="C55" s="90">
        <v>1</v>
      </c>
      <c r="D55" s="161" t="str">
        <f t="shared" si="1"/>
        <v>2D</v>
      </c>
      <c r="E55" s="161" t="str">
        <f t="shared" si="0"/>
        <v>N.A.</v>
      </c>
      <c r="F55" s="161">
        <f t="shared" si="2"/>
        <v>1</v>
      </c>
      <c r="G55" s="162">
        <f t="shared" si="3"/>
        <v>1</v>
      </c>
      <c r="H55" s="161">
        <f t="shared" si="4"/>
        <v>2.4444444444444446E-2</v>
      </c>
      <c r="I55" s="163" t="s">
        <v>52</v>
      </c>
      <c r="J55" s="79">
        <f t="shared" si="5"/>
        <v>0.12</v>
      </c>
      <c r="K55" s="157"/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ht="13.5" x14ac:dyDescent="0.25">
      <c r="A56" s="164">
        <v>48</v>
      </c>
      <c r="B56" s="90">
        <v>1</v>
      </c>
      <c r="C56" s="90">
        <v>1</v>
      </c>
      <c r="D56" s="161" t="str">
        <f t="shared" si="1"/>
        <v>2D</v>
      </c>
      <c r="E56" s="161" t="str">
        <f t="shared" si="0"/>
        <v>N.A.</v>
      </c>
      <c r="F56" s="161">
        <f t="shared" si="2"/>
        <v>1</v>
      </c>
      <c r="G56" s="162">
        <f t="shared" si="3"/>
        <v>1</v>
      </c>
      <c r="H56" s="161">
        <f t="shared" si="4"/>
        <v>2.4444444444444446E-2</v>
      </c>
      <c r="I56" s="163" t="s">
        <v>52</v>
      </c>
      <c r="J56" s="79">
        <f t="shared" si="5"/>
        <v>0.12</v>
      </c>
      <c r="K56" s="157"/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ht="13.5" x14ac:dyDescent="0.25">
      <c r="A57" s="164">
        <v>49</v>
      </c>
      <c r="B57" s="90">
        <v>1</v>
      </c>
      <c r="C57" s="90">
        <v>1</v>
      </c>
      <c r="D57" s="161" t="str">
        <f>IF((MAX(B57:C57)/MIN(B57:C57))&gt;2,"1D","2D")</f>
        <v>2D</v>
      </c>
      <c r="E57" s="161" t="str">
        <f t="shared" si="0"/>
        <v>N.A.</v>
      </c>
      <c r="F57" s="161">
        <f>IF(D57="1D",MIN(B57:C57),MAX(B57:C57))</f>
        <v>1</v>
      </c>
      <c r="G57" s="162">
        <f>MAX(B57:C57)/MIN(B57:C57)</f>
        <v>1</v>
      </c>
      <c r="H57" s="161">
        <f>IF(D57="2d",(F57*(0.8+($D$6/14000)))/(36+9*G57),F57/E57)</f>
        <v>2.4444444444444446E-2</v>
      </c>
      <c r="I57" s="163" t="s">
        <v>52</v>
      </c>
      <c r="J57" s="79">
        <f t="shared" si="5"/>
        <v>0.12</v>
      </c>
      <c r="K57" s="157"/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ht="13.5" x14ac:dyDescent="0.25">
      <c r="A58" s="164">
        <v>50</v>
      </c>
      <c r="B58" s="90">
        <v>1</v>
      </c>
      <c r="C58" s="90">
        <v>1</v>
      </c>
      <c r="D58" s="161" t="str">
        <f>IF((MAX(B58:C58)/MIN(B58:C58))&gt;2,"1D","2D")</f>
        <v>2D</v>
      </c>
      <c r="E58" s="161" t="str">
        <f t="shared" si="0"/>
        <v>N.A.</v>
      </c>
      <c r="F58" s="161">
        <f>IF(D58="1D",MIN(B58:C58),MAX(B58:C58))</f>
        <v>1</v>
      </c>
      <c r="G58" s="162">
        <f>MAX(B58:C58)/MIN(B58:C58)</f>
        <v>1</v>
      </c>
      <c r="H58" s="161">
        <f>IF(D58="2d",(F58*(0.8+($D$6/14000)))/(36+9*G58),F58/E58)</f>
        <v>2.4444444444444446E-2</v>
      </c>
      <c r="I58" s="163" t="s">
        <v>52</v>
      </c>
      <c r="J58" s="79">
        <f t="shared" si="5"/>
        <v>0.12</v>
      </c>
      <c r="K58" s="157"/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sheetProtection insertRows="0" deleteRows="0"/>
  <mergeCells count="11">
    <mergeCell ref="B2:D2"/>
    <mergeCell ref="G3:I3"/>
    <mergeCell ref="E3:F3"/>
    <mergeCell ref="J3:J4"/>
    <mergeCell ref="B3:D3"/>
    <mergeCell ref="F4:I4"/>
    <mergeCell ref="N7:R7"/>
    <mergeCell ref="S7:W7"/>
    <mergeCell ref="H8:J8"/>
    <mergeCell ref="G2:I2"/>
    <mergeCell ref="E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BDA9-1883-48B3-84A9-D9D7E67B65A2}">
  <sheetPr codeName="Hoja3"/>
  <dimension ref="A1:AC58"/>
  <sheetViews>
    <sheetView topLeftCell="A3" zoomScaleNormal="100" workbookViewId="0">
      <selection activeCell="J9" sqref="J9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.5703125" bestFit="1" customWidth="1"/>
    <col min="13" max="13" width="5.7109375" bestFit="1" customWidth="1"/>
    <col min="14" max="14" width="8.42578125" bestFit="1" customWidth="1"/>
    <col min="15" max="15" width="5.28515625" bestFit="1" customWidth="1"/>
    <col min="16" max="16" width="5.570312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5.28515625" bestFit="1" customWidth="1"/>
    <col min="21" max="21" width="6.42578125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7" width="6.42578125" bestFit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E2</v>
      </c>
    </row>
    <row r="2" spans="1:29" ht="18" customHeight="1" x14ac:dyDescent="0.25">
      <c r="A2" s="57"/>
      <c r="B2" s="214" t="str">
        <f>'Espesor Earlette'!B2:D2</f>
        <v>INGENIERO DEMO</v>
      </c>
      <c r="C2" s="214"/>
      <c r="D2" s="215"/>
      <c r="E2" s="216" t="s">
        <v>0</v>
      </c>
      <c r="F2" s="217"/>
      <c r="G2" s="218" t="str">
        <f>'Espesor Earlette'!G2:I2</f>
        <v>Proyecto Demo</v>
      </c>
      <c r="H2" s="218"/>
      <c r="I2" s="219"/>
      <c r="J2" s="8" t="s">
        <v>1</v>
      </c>
      <c r="AB2" t="str">
        <f ca="1">_xlfn.TEXTAFTER(AB1,"Espesor")</f>
        <v xml:space="preserve"> E2</v>
      </c>
      <c r="AC2" t="str">
        <f ca="1">_xlfn.CONCAT(AB2," ","/")</f>
        <v xml:space="preserve"> E2 /</v>
      </c>
    </row>
    <row r="3" spans="1:29" ht="18" customHeight="1" x14ac:dyDescent="0.25">
      <c r="A3" s="58"/>
      <c r="B3" s="210" t="str">
        <f>'Espesor Earlette'!B3</f>
        <v>INGENIERO CIVIL</v>
      </c>
      <c r="C3" s="211"/>
      <c r="D3" s="212"/>
      <c r="E3" s="200" t="s">
        <v>3</v>
      </c>
      <c r="F3" s="201"/>
      <c r="G3" s="220">
        <f>'Espesor Earlette'!G3:I3</f>
        <v>45904</v>
      </c>
      <c r="H3" s="221"/>
      <c r="I3" s="222"/>
      <c r="J3" s="202">
        <v>1</v>
      </c>
    </row>
    <row r="4" spans="1:29" ht="18" customHeight="1" thickBot="1" x14ac:dyDescent="0.3">
      <c r="A4" s="59"/>
      <c r="B4" s="56" t="s">
        <v>102</v>
      </c>
      <c r="C4" s="53">
        <f>'Espesor Earlette'!C4</f>
        <v>0</v>
      </c>
      <c r="D4" s="54"/>
      <c r="E4" s="12" t="s">
        <v>4</v>
      </c>
      <c r="F4" s="223" t="str">
        <f ca="1">_xlfn.CONCAT("Espesor"," ","de"," ","Losas"," ",AB2)</f>
        <v>Espesor de Losas  E2</v>
      </c>
      <c r="G4" s="224"/>
      <c r="H4" s="224"/>
      <c r="I4" s="225"/>
      <c r="J4" s="203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53</v>
      </c>
      <c r="B6" s="13">
        <f>IF(COUNTIFS(C9:C58,"&lt;&gt;1", B9:B58,"&lt;&gt;1")=0, 50, COUNTIFS(C9:C58,"&lt;&gt;1", B9:B58,"&lt;&gt;1"))</f>
        <v>50</v>
      </c>
      <c r="C6" s="4" t="s">
        <v>42</v>
      </c>
      <c r="D6" s="5">
        <v>4200</v>
      </c>
      <c r="E6" s="3" t="s">
        <v>43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53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  <c r="X7" s="6"/>
      <c r="Y7" s="6"/>
      <c r="Z7" s="6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21" t="s">
        <v>50</v>
      </c>
      <c r="H8" s="188" t="s">
        <v>51</v>
      </c>
      <c r="I8" s="188"/>
      <c r="J8" s="213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8">
        <v>1</v>
      </c>
      <c r="B9" s="89">
        <v>1</v>
      </c>
      <c r="C9" s="89">
        <v>1</v>
      </c>
      <c r="D9" s="20" t="str">
        <f>IF((MAX(B9:C9)/MIN(B9:C9))&gt;2,"1D","2D")</f>
        <v>2D</v>
      </c>
      <c r="E9" s="86" t="str">
        <f>IF(D9="2D","N.A.",10)</f>
        <v>N.A.</v>
      </c>
      <c r="F9" s="20">
        <f>IF(D9="1D",MIN(B9:C9),MAX(B9:C9))</f>
        <v>1</v>
      </c>
      <c r="G9" s="22">
        <f>MAX(B9:C9)/MIN(B9:C9)</f>
        <v>1</v>
      </c>
      <c r="H9" s="20">
        <f>IF(D9="2d",(F9*(0.8+($D$6/14000)))/(36+9*G9),F9/E9)</f>
        <v>2.4444444444444446E-2</v>
      </c>
      <c r="I9" s="19" t="s">
        <v>52</v>
      </c>
      <c r="J9" s="79">
        <f>MAX(0.12,ROUND(H9,2))</f>
        <v>0.12</v>
      </c>
      <c r="L9" s="158">
        <v>0.3</v>
      </c>
      <c r="M9" s="158">
        <v>0.6</v>
      </c>
      <c r="N9" s="156">
        <f>+F9*J9*J9*J9/12</f>
        <v>1.44E-4</v>
      </c>
      <c r="O9" s="151">
        <f>+IF(4*J9&gt;=M9-J9,M9-J9,4*J9)*2+L9</f>
        <v>1.26</v>
      </c>
      <c r="P9" s="151">
        <f>+M9-(0.5*(((O9-L9)*J9*J9)+L9*M9*M9)/((O9-L9)*J9+L9*M9))</f>
        <v>0.39365853658536587</v>
      </c>
      <c r="Q9" s="156">
        <f>+(O9-L9)*J9*J9*J9/12+L9*M9*M9*M9/12+(O9-L9)*J9*POWER(M9-J9*0.5-P9,2)+L9*M9*POWER(P9-0.5*M9,2)</f>
        <v>9.5842887804878062E-3</v>
      </c>
      <c r="R9" s="152">
        <f>+Q9/N9</f>
        <v>66.557560975609761</v>
      </c>
      <c r="S9" s="156">
        <f>+F9*J9*J9*J9*0.5/12</f>
        <v>7.2000000000000002E-5</v>
      </c>
      <c r="T9" s="155">
        <f>+IF(4*J9&gt;=M9-J9,M9-J9,4*J9)+L9</f>
        <v>0.78</v>
      </c>
      <c r="U9" s="154">
        <f>+M9-(0.5*(((T9-L9)*J9*J9)+L9*M9*M9)/((T9-L9)*J9+L9*M9))</f>
        <v>0.35818181818181816</v>
      </c>
      <c r="V9" s="156">
        <f>+(T9-L9)*J9*J9*J9/12+L9*M9*M9*M9/12+(T9-L9)*J9*POWER(M9-J9*0.5-U9,2)+L9*M9*POWER(U9-0.5*M9,2)</f>
        <v>7.9825745454545453E-3</v>
      </c>
      <c r="W9" s="152">
        <f>+V9/S9</f>
        <v>110.8690909090909</v>
      </c>
      <c r="X9" s="158">
        <v>2</v>
      </c>
      <c r="Y9" s="158">
        <v>2</v>
      </c>
      <c r="Z9" s="151">
        <f>+(X9*R9+Y9*W9)/4</f>
        <v>88.713325942350338</v>
      </c>
      <c r="AA9" s="154">
        <f>+(F9*(0.8+($D$6/14000)))/(36+5*((IF(Z9&gt;2,2,Z9))-0.2)*G9)</f>
        <v>2.4444444444444446E-2</v>
      </c>
    </row>
    <row r="10" spans="1:29" ht="13.5" x14ac:dyDescent="0.25">
      <c r="A10" s="18">
        <v>2</v>
      </c>
      <c r="B10" s="89">
        <v>1</v>
      </c>
      <c r="C10" s="89">
        <v>1</v>
      </c>
      <c r="D10" s="20" t="str">
        <f t="shared" ref="D10:D30" si="0">IF((MAX(B10:C10)/MIN(B10:C10))&gt;2,"1D","2D")</f>
        <v>2D</v>
      </c>
      <c r="E10" s="86" t="str">
        <f t="shared" ref="E10:E58" si="1">IF(D10="2D","N.A.",10)</f>
        <v>N.A.</v>
      </c>
      <c r="F10" s="20">
        <f t="shared" ref="F10:F30" si="2">IF(D10="1D",MIN(B10:C10),MAX(B10:C10))</f>
        <v>1</v>
      </c>
      <c r="G10" s="22">
        <f t="shared" ref="G10:G30" si="3">MAX(B10:C10)/MIN(B10:C10)</f>
        <v>1</v>
      </c>
      <c r="H10" s="20">
        <f t="shared" ref="H10:H30" si="4">IF(D10="2d",(F10*(0.8+($D$6/14000)))/(36+9*G10),F10/E10)</f>
        <v>2.4444444444444446E-2</v>
      </c>
      <c r="I10" s="19" t="s">
        <v>52</v>
      </c>
      <c r="J10" s="79">
        <f t="shared" ref="J10:J58" si="5">MAX(0.12,ROUND(H10,2))</f>
        <v>0.12</v>
      </c>
      <c r="L10" s="158">
        <v>0.3</v>
      </c>
      <c r="M10" s="158">
        <v>0.6</v>
      </c>
      <c r="N10" s="156">
        <f t="shared" ref="N10:N58" si="6">+F10*J10*J10*J10/12</f>
        <v>1.44E-4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66.557560975609761</v>
      </c>
      <c r="S10" s="156">
        <f t="shared" ref="S10:S58" si="11">+F10*J10*J10*J10*0.5/12</f>
        <v>7.2000000000000002E-5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110.8690909090909</v>
      </c>
      <c r="X10" s="158">
        <v>2</v>
      </c>
      <c r="Y10" s="158">
        <v>2</v>
      </c>
      <c r="Z10" s="151">
        <f t="shared" ref="Z10:Z58" si="16">+(X10*R10+Y10*W10)/4</f>
        <v>88.713325942350338</v>
      </c>
      <c r="AA10" s="154">
        <f t="shared" ref="AA10:AA58" si="17">+(F10*(0.8+($D$6/14000)))/(36+5*((IF(Z10&gt;2,2,Z10))-0.2)*G10)</f>
        <v>2.4444444444444446E-2</v>
      </c>
    </row>
    <row r="11" spans="1:29" ht="13.5" x14ac:dyDescent="0.25">
      <c r="A11" s="18">
        <v>3</v>
      </c>
      <c r="B11" s="89">
        <v>1</v>
      </c>
      <c r="C11" s="89">
        <v>1</v>
      </c>
      <c r="D11" s="20" t="str">
        <f t="shared" si="0"/>
        <v>2D</v>
      </c>
      <c r="E11" s="86" t="str">
        <f t="shared" si="1"/>
        <v>N.A.</v>
      </c>
      <c r="F11" s="20">
        <f t="shared" si="2"/>
        <v>1</v>
      </c>
      <c r="G11" s="22">
        <f t="shared" si="3"/>
        <v>1</v>
      </c>
      <c r="H11" s="20">
        <f t="shared" si="4"/>
        <v>2.4444444444444446E-2</v>
      </c>
      <c r="I11" s="19" t="s">
        <v>52</v>
      </c>
      <c r="J11" s="79">
        <f t="shared" si="5"/>
        <v>0.12</v>
      </c>
      <c r="L11" s="158">
        <v>0.3</v>
      </c>
      <c r="M11" s="158">
        <v>0.6</v>
      </c>
      <c r="N11" s="156">
        <f t="shared" si="6"/>
        <v>1.44E-4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66.557560975609761</v>
      </c>
      <c r="S11" s="156">
        <f t="shared" si="11"/>
        <v>7.2000000000000002E-5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110.8690909090909</v>
      </c>
      <c r="X11" s="158">
        <v>2</v>
      </c>
      <c r="Y11" s="158">
        <v>2</v>
      </c>
      <c r="Z11" s="151">
        <f t="shared" si="16"/>
        <v>88.713325942350338</v>
      </c>
      <c r="AA11" s="154">
        <f t="shared" si="17"/>
        <v>2.4444444444444446E-2</v>
      </c>
    </row>
    <row r="12" spans="1:29" ht="13.5" x14ac:dyDescent="0.25">
      <c r="A12" s="18">
        <v>4</v>
      </c>
      <c r="B12" s="89">
        <v>1</v>
      </c>
      <c r="C12" s="89">
        <v>1</v>
      </c>
      <c r="D12" s="20" t="str">
        <f t="shared" si="0"/>
        <v>2D</v>
      </c>
      <c r="E12" s="86" t="str">
        <f t="shared" si="1"/>
        <v>N.A.</v>
      </c>
      <c r="F12" s="20">
        <f t="shared" si="2"/>
        <v>1</v>
      </c>
      <c r="G12" s="22">
        <f t="shared" si="3"/>
        <v>1</v>
      </c>
      <c r="H12" s="20">
        <f t="shared" si="4"/>
        <v>2.4444444444444446E-2</v>
      </c>
      <c r="I12" s="19" t="s">
        <v>52</v>
      </c>
      <c r="J12" s="79">
        <f t="shared" si="5"/>
        <v>0.12</v>
      </c>
      <c r="L12" s="158">
        <v>0.3</v>
      </c>
      <c r="M12" s="158">
        <v>0.6</v>
      </c>
      <c r="N12" s="156">
        <f t="shared" si="6"/>
        <v>1.44E-4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66.557560975609761</v>
      </c>
      <c r="S12" s="156">
        <f t="shared" si="11"/>
        <v>7.2000000000000002E-5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110.8690909090909</v>
      </c>
      <c r="X12" s="158">
        <v>2</v>
      </c>
      <c r="Y12" s="158">
        <v>2</v>
      </c>
      <c r="Z12" s="151">
        <f t="shared" si="16"/>
        <v>88.713325942350338</v>
      </c>
      <c r="AA12" s="154">
        <f t="shared" si="17"/>
        <v>2.4444444444444446E-2</v>
      </c>
    </row>
    <row r="13" spans="1:29" ht="13.5" x14ac:dyDescent="0.25">
      <c r="A13" s="18">
        <v>5</v>
      </c>
      <c r="B13" s="89">
        <v>1</v>
      </c>
      <c r="C13" s="89">
        <v>1</v>
      </c>
      <c r="D13" s="20" t="str">
        <f t="shared" si="0"/>
        <v>2D</v>
      </c>
      <c r="E13" s="86" t="str">
        <f t="shared" si="1"/>
        <v>N.A.</v>
      </c>
      <c r="F13" s="20">
        <f t="shared" si="2"/>
        <v>1</v>
      </c>
      <c r="G13" s="22">
        <f t="shared" si="3"/>
        <v>1</v>
      </c>
      <c r="H13" s="20">
        <f t="shared" si="4"/>
        <v>2.4444444444444446E-2</v>
      </c>
      <c r="I13" s="19" t="s">
        <v>52</v>
      </c>
      <c r="J13" s="79">
        <f t="shared" si="5"/>
        <v>0.12</v>
      </c>
      <c r="L13" s="158">
        <v>0.3</v>
      </c>
      <c r="M13" s="158">
        <v>0.6</v>
      </c>
      <c r="N13" s="156">
        <f t="shared" si="6"/>
        <v>1.44E-4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66.557560975609761</v>
      </c>
      <c r="S13" s="156">
        <f t="shared" si="11"/>
        <v>7.2000000000000002E-5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110.8690909090909</v>
      </c>
      <c r="X13" s="158">
        <v>2</v>
      </c>
      <c r="Y13" s="158">
        <v>2</v>
      </c>
      <c r="Z13" s="151">
        <f t="shared" si="16"/>
        <v>88.713325942350338</v>
      </c>
      <c r="AA13" s="154">
        <f t="shared" si="17"/>
        <v>2.4444444444444446E-2</v>
      </c>
    </row>
    <row r="14" spans="1:29" ht="13.5" x14ac:dyDescent="0.25">
      <c r="A14" s="18">
        <v>6</v>
      </c>
      <c r="B14" s="89">
        <v>1</v>
      </c>
      <c r="C14" s="89">
        <v>1</v>
      </c>
      <c r="D14" s="20" t="str">
        <f t="shared" si="0"/>
        <v>2D</v>
      </c>
      <c r="E14" s="86" t="str">
        <f t="shared" si="1"/>
        <v>N.A.</v>
      </c>
      <c r="F14" s="20">
        <f t="shared" si="2"/>
        <v>1</v>
      </c>
      <c r="G14" s="22">
        <f t="shared" si="3"/>
        <v>1</v>
      </c>
      <c r="H14" s="20">
        <f t="shared" si="4"/>
        <v>2.4444444444444446E-2</v>
      </c>
      <c r="I14" s="19" t="s">
        <v>52</v>
      </c>
      <c r="J14" s="79">
        <f t="shared" si="5"/>
        <v>0.12</v>
      </c>
      <c r="L14" s="158">
        <v>0.3</v>
      </c>
      <c r="M14" s="158">
        <v>0.6</v>
      </c>
      <c r="N14" s="156">
        <f t="shared" si="6"/>
        <v>1.44E-4</v>
      </c>
      <c r="O14" s="151">
        <f t="shared" si="7"/>
        <v>1.26</v>
      </c>
      <c r="P14" s="151">
        <f t="shared" si="8"/>
        <v>0.39365853658536587</v>
      </c>
      <c r="Q14" s="156">
        <f t="shared" si="9"/>
        <v>9.5842887804878062E-3</v>
      </c>
      <c r="R14" s="152">
        <f t="shared" si="10"/>
        <v>66.557560975609761</v>
      </c>
      <c r="S14" s="156">
        <f t="shared" si="11"/>
        <v>7.2000000000000002E-5</v>
      </c>
      <c r="T14" s="155">
        <f t="shared" si="12"/>
        <v>0.78</v>
      </c>
      <c r="U14" s="154">
        <f t="shared" si="13"/>
        <v>0.35818181818181816</v>
      </c>
      <c r="V14" s="156">
        <f t="shared" si="14"/>
        <v>7.9825745454545453E-3</v>
      </c>
      <c r="W14" s="152">
        <f t="shared" si="15"/>
        <v>110.8690909090909</v>
      </c>
      <c r="X14" s="158">
        <v>2</v>
      </c>
      <c r="Y14" s="158">
        <v>2</v>
      </c>
      <c r="Z14" s="151">
        <f t="shared" si="16"/>
        <v>88.713325942350338</v>
      </c>
      <c r="AA14" s="154">
        <f t="shared" si="17"/>
        <v>2.4444444444444446E-2</v>
      </c>
    </row>
    <row r="15" spans="1:29" ht="13.5" x14ac:dyDescent="0.25">
      <c r="A15" s="18">
        <v>7</v>
      </c>
      <c r="B15" s="89">
        <v>1</v>
      </c>
      <c r="C15" s="89">
        <v>1</v>
      </c>
      <c r="D15" s="20" t="str">
        <f t="shared" si="0"/>
        <v>2D</v>
      </c>
      <c r="E15" s="86" t="str">
        <f t="shared" si="1"/>
        <v>N.A.</v>
      </c>
      <c r="F15" s="20">
        <f t="shared" si="2"/>
        <v>1</v>
      </c>
      <c r="G15" s="22">
        <f t="shared" si="3"/>
        <v>1</v>
      </c>
      <c r="H15" s="20">
        <f t="shared" si="4"/>
        <v>2.4444444444444446E-2</v>
      </c>
      <c r="I15" s="19" t="s">
        <v>52</v>
      </c>
      <c r="J15" s="79">
        <f t="shared" si="5"/>
        <v>0.12</v>
      </c>
      <c r="L15" s="158">
        <v>0.3</v>
      </c>
      <c r="M15" s="158">
        <v>0.6</v>
      </c>
      <c r="N15" s="156">
        <f t="shared" si="6"/>
        <v>1.44E-4</v>
      </c>
      <c r="O15" s="151">
        <f t="shared" si="7"/>
        <v>1.26</v>
      </c>
      <c r="P15" s="151">
        <f t="shared" si="8"/>
        <v>0.39365853658536587</v>
      </c>
      <c r="Q15" s="156">
        <f t="shared" si="9"/>
        <v>9.5842887804878062E-3</v>
      </c>
      <c r="R15" s="152">
        <f t="shared" si="10"/>
        <v>66.557560975609761</v>
      </c>
      <c r="S15" s="156">
        <f t="shared" si="11"/>
        <v>7.2000000000000002E-5</v>
      </c>
      <c r="T15" s="155">
        <f t="shared" si="12"/>
        <v>0.78</v>
      </c>
      <c r="U15" s="154">
        <f t="shared" si="13"/>
        <v>0.35818181818181816</v>
      </c>
      <c r="V15" s="156">
        <f t="shared" si="14"/>
        <v>7.9825745454545453E-3</v>
      </c>
      <c r="W15" s="152">
        <f t="shared" si="15"/>
        <v>110.8690909090909</v>
      </c>
      <c r="X15" s="158">
        <v>2</v>
      </c>
      <c r="Y15" s="158">
        <v>2</v>
      </c>
      <c r="Z15" s="151">
        <f t="shared" si="16"/>
        <v>88.713325942350338</v>
      </c>
      <c r="AA15" s="154">
        <f t="shared" si="17"/>
        <v>2.4444444444444446E-2</v>
      </c>
    </row>
    <row r="16" spans="1:29" ht="13.5" x14ac:dyDescent="0.25">
      <c r="A16" s="18">
        <v>8</v>
      </c>
      <c r="B16" s="89">
        <v>1</v>
      </c>
      <c r="C16" s="89">
        <v>1</v>
      </c>
      <c r="D16" s="20" t="str">
        <f t="shared" si="0"/>
        <v>2D</v>
      </c>
      <c r="E16" s="86" t="str">
        <f t="shared" si="1"/>
        <v>N.A.</v>
      </c>
      <c r="F16" s="20">
        <f t="shared" si="2"/>
        <v>1</v>
      </c>
      <c r="G16" s="22">
        <f t="shared" si="3"/>
        <v>1</v>
      </c>
      <c r="H16" s="20">
        <f t="shared" si="4"/>
        <v>2.4444444444444446E-2</v>
      </c>
      <c r="I16" s="19" t="s">
        <v>52</v>
      </c>
      <c r="J16" s="79">
        <f t="shared" si="5"/>
        <v>0.12</v>
      </c>
      <c r="L16" s="158">
        <v>0.3</v>
      </c>
      <c r="M16" s="158">
        <v>0.6</v>
      </c>
      <c r="N16" s="156">
        <f t="shared" si="6"/>
        <v>1.44E-4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66.557560975609761</v>
      </c>
      <c r="S16" s="156">
        <f t="shared" si="11"/>
        <v>7.2000000000000002E-5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110.8690909090909</v>
      </c>
      <c r="X16" s="158">
        <v>2</v>
      </c>
      <c r="Y16" s="158">
        <v>2</v>
      </c>
      <c r="Z16" s="151">
        <f t="shared" si="16"/>
        <v>88.713325942350338</v>
      </c>
      <c r="AA16" s="154">
        <f t="shared" si="17"/>
        <v>2.4444444444444446E-2</v>
      </c>
    </row>
    <row r="17" spans="1:27" ht="13.5" x14ac:dyDescent="0.25">
      <c r="A17" s="18">
        <v>9</v>
      </c>
      <c r="B17" s="89">
        <v>1</v>
      </c>
      <c r="C17" s="89">
        <v>1</v>
      </c>
      <c r="D17" s="20" t="str">
        <f t="shared" si="0"/>
        <v>2D</v>
      </c>
      <c r="E17" s="86" t="str">
        <f t="shared" si="1"/>
        <v>N.A.</v>
      </c>
      <c r="F17" s="20">
        <f t="shared" si="2"/>
        <v>1</v>
      </c>
      <c r="G17" s="22">
        <f t="shared" si="3"/>
        <v>1</v>
      </c>
      <c r="H17" s="20">
        <f t="shared" si="4"/>
        <v>2.4444444444444446E-2</v>
      </c>
      <c r="I17" s="19" t="s">
        <v>52</v>
      </c>
      <c r="J17" s="79">
        <f t="shared" si="5"/>
        <v>0.12</v>
      </c>
      <c r="L17" s="158">
        <v>0.3</v>
      </c>
      <c r="M17" s="158">
        <v>0.6</v>
      </c>
      <c r="N17" s="156">
        <f t="shared" si="6"/>
        <v>1.44E-4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66.557560975609761</v>
      </c>
      <c r="S17" s="156">
        <f t="shared" si="11"/>
        <v>7.2000000000000002E-5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110.8690909090909</v>
      </c>
      <c r="X17" s="158">
        <v>2</v>
      </c>
      <c r="Y17" s="158">
        <v>2</v>
      </c>
      <c r="Z17" s="151">
        <f t="shared" si="16"/>
        <v>88.713325942350338</v>
      </c>
      <c r="AA17" s="154">
        <f t="shared" si="17"/>
        <v>2.4444444444444446E-2</v>
      </c>
    </row>
    <row r="18" spans="1:27" ht="13.5" x14ac:dyDescent="0.25">
      <c r="A18" s="18">
        <v>10</v>
      </c>
      <c r="B18" s="89">
        <v>1</v>
      </c>
      <c r="C18" s="89">
        <v>1</v>
      </c>
      <c r="D18" s="20" t="str">
        <f t="shared" si="0"/>
        <v>2D</v>
      </c>
      <c r="E18" s="86" t="str">
        <f t="shared" si="1"/>
        <v>N.A.</v>
      </c>
      <c r="F18" s="20">
        <f t="shared" si="2"/>
        <v>1</v>
      </c>
      <c r="G18" s="22">
        <f t="shared" si="3"/>
        <v>1</v>
      </c>
      <c r="H18" s="20">
        <f t="shared" si="4"/>
        <v>2.4444444444444446E-2</v>
      </c>
      <c r="I18" s="19" t="s">
        <v>52</v>
      </c>
      <c r="J18" s="79">
        <f t="shared" si="5"/>
        <v>0.12</v>
      </c>
      <c r="L18" s="158">
        <v>0.3</v>
      </c>
      <c r="M18" s="158">
        <v>0.6</v>
      </c>
      <c r="N18" s="156">
        <f t="shared" si="6"/>
        <v>1.44E-4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66.557560975609761</v>
      </c>
      <c r="S18" s="156">
        <f t="shared" si="11"/>
        <v>7.2000000000000002E-5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110.8690909090909</v>
      </c>
      <c r="X18" s="158">
        <v>2</v>
      </c>
      <c r="Y18" s="158">
        <v>2</v>
      </c>
      <c r="Z18" s="151">
        <f t="shared" si="16"/>
        <v>88.713325942350338</v>
      </c>
      <c r="AA18" s="154">
        <f t="shared" si="17"/>
        <v>2.4444444444444446E-2</v>
      </c>
    </row>
    <row r="19" spans="1:27" ht="13.5" x14ac:dyDescent="0.25">
      <c r="A19" s="18">
        <v>11</v>
      </c>
      <c r="B19" s="89">
        <v>1</v>
      </c>
      <c r="C19" s="89">
        <v>1</v>
      </c>
      <c r="D19" s="20" t="str">
        <f t="shared" si="0"/>
        <v>2D</v>
      </c>
      <c r="E19" s="86" t="str">
        <f t="shared" si="1"/>
        <v>N.A.</v>
      </c>
      <c r="F19" s="20">
        <f t="shared" si="2"/>
        <v>1</v>
      </c>
      <c r="G19" s="22">
        <f t="shared" si="3"/>
        <v>1</v>
      </c>
      <c r="H19" s="20">
        <f t="shared" si="4"/>
        <v>2.4444444444444446E-2</v>
      </c>
      <c r="I19" s="19" t="s">
        <v>52</v>
      </c>
      <c r="J19" s="79">
        <f t="shared" si="5"/>
        <v>0.12</v>
      </c>
      <c r="L19" s="158">
        <v>0.3</v>
      </c>
      <c r="M19" s="158">
        <v>0.6</v>
      </c>
      <c r="N19" s="156">
        <f t="shared" si="6"/>
        <v>1.44E-4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66.557560975609761</v>
      </c>
      <c r="S19" s="156">
        <f t="shared" si="11"/>
        <v>7.2000000000000002E-5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110.8690909090909</v>
      </c>
      <c r="X19" s="158">
        <v>2</v>
      </c>
      <c r="Y19" s="158">
        <v>2</v>
      </c>
      <c r="Z19" s="151">
        <f t="shared" si="16"/>
        <v>88.713325942350338</v>
      </c>
      <c r="AA19" s="154">
        <f t="shared" si="17"/>
        <v>2.4444444444444446E-2</v>
      </c>
    </row>
    <row r="20" spans="1:27" ht="13.5" x14ac:dyDescent="0.25">
      <c r="A20" s="18">
        <v>12</v>
      </c>
      <c r="B20" s="89">
        <v>1</v>
      </c>
      <c r="C20" s="89">
        <v>1</v>
      </c>
      <c r="D20" s="20" t="str">
        <f t="shared" si="0"/>
        <v>2D</v>
      </c>
      <c r="E20" s="86" t="str">
        <f t="shared" si="1"/>
        <v>N.A.</v>
      </c>
      <c r="F20" s="20">
        <f t="shared" si="2"/>
        <v>1</v>
      </c>
      <c r="G20" s="22">
        <f t="shared" si="3"/>
        <v>1</v>
      </c>
      <c r="H20" s="20">
        <f t="shared" si="4"/>
        <v>2.4444444444444446E-2</v>
      </c>
      <c r="I20" s="19" t="s">
        <v>52</v>
      </c>
      <c r="J20" s="79">
        <f t="shared" si="5"/>
        <v>0.12</v>
      </c>
      <c r="L20" s="158">
        <v>0.3</v>
      </c>
      <c r="M20" s="158">
        <v>0.6</v>
      </c>
      <c r="N20" s="156">
        <f t="shared" si="6"/>
        <v>1.44E-4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66.557560975609761</v>
      </c>
      <c r="S20" s="156">
        <f t="shared" si="11"/>
        <v>7.2000000000000002E-5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110.8690909090909</v>
      </c>
      <c r="X20" s="158">
        <v>2</v>
      </c>
      <c r="Y20" s="158">
        <v>2</v>
      </c>
      <c r="Z20" s="151">
        <f t="shared" si="16"/>
        <v>88.713325942350338</v>
      </c>
      <c r="AA20" s="154">
        <f t="shared" si="17"/>
        <v>2.4444444444444446E-2</v>
      </c>
    </row>
    <row r="21" spans="1:27" ht="13.5" x14ac:dyDescent="0.25">
      <c r="A21" s="18">
        <v>13</v>
      </c>
      <c r="B21" s="89">
        <v>1</v>
      </c>
      <c r="C21" s="89">
        <v>1</v>
      </c>
      <c r="D21" s="20" t="str">
        <f t="shared" si="0"/>
        <v>2D</v>
      </c>
      <c r="E21" s="86" t="str">
        <f t="shared" si="1"/>
        <v>N.A.</v>
      </c>
      <c r="F21" s="20">
        <f t="shared" si="2"/>
        <v>1</v>
      </c>
      <c r="G21" s="22">
        <f t="shared" si="3"/>
        <v>1</v>
      </c>
      <c r="H21" s="20">
        <f t="shared" si="4"/>
        <v>2.4444444444444446E-2</v>
      </c>
      <c r="I21" s="19" t="s">
        <v>52</v>
      </c>
      <c r="J21" s="79">
        <f t="shared" si="5"/>
        <v>0.12</v>
      </c>
      <c r="L21" s="158">
        <v>0.3</v>
      </c>
      <c r="M21" s="158">
        <v>0.6</v>
      </c>
      <c r="N21" s="156">
        <f t="shared" si="6"/>
        <v>1.44E-4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66.557560975609761</v>
      </c>
      <c r="S21" s="156">
        <f t="shared" si="11"/>
        <v>7.2000000000000002E-5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110.8690909090909</v>
      </c>
      <c r="X21" s="158">
        <v>2</v>
      </c>
      <c r="Y21" s="158">
        <v>2</v>
      </c>
      <c r="Z21" s="151">
        <f t="shared" si="16"/>
        <v>88.713325942350338</v>
      </c>
      <c r="AA21" s="154">
        <f t="shared" si="17"/>
        <v>2.4444444444444446E-2</v>
      </c>
    </row>
    <row r="22" spans="1:27" ht="13.5" x14ac:dyDescent="0.25">
      <c r="A22" s="18">
        <v>14</v>
      </c>
      <c r="B22" s="89">
        <v>1</v>
      </c>
      <c r="C22" s="89">
        <v>1</v>
      </c>
      <c r="D22" s="20" t="str">
        <f t="shared" si="0"/>
        <v>2D</v>
      </c>
      <c r="E22" s="86" t="str">
        <f t="shared" si="1"/>
        <v>N.A.</v>
      </c>
      <c r="F22" s="20">
        <f t="shared" si="2"/>
        <v>1</v>
      </c>
      <c r="G22" s="22">
        <f t="shared" si="3"/>
        <v>1</v>
      </c>
      <c r="H22" s="20">
        <f t="shared" si="4"/>
        <v>2.4444444444444446E-2</v>
      </c>
      <c r="I22" s="19" t="s">
        <v>52</v>
      </c>
      <c r="J22" s="79">
        <f t="shared" si="5"/>
        <v>0.12</v>
      </c>
      <c r="L22" s="158">
        <v>0.3</v>
      </c>
      <c r="M22" s="158">
        <v>0.6</v>
      </c>
      <c r="N22" s="156">
        <f t="shared" si="6"/>
        <v>1.44E-4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66.557560975609761</v>
      </c>
      <c r="S22" s="156">
        <f t="shared" si="11"/>
        <v>7.2000000000000002E-5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110.8690909090909</v>
      </c>
      <c r="X22" s="158">
        <v>2</v>
      </c>
      <c r="Y22" s="158">
        <v>2</v>
      </c>
      <c r="Z22" s="151">
        <f t="shared" si="16"/>
        <v>88.713325942350338</v>
      </c>
      <c r="AA22" s="154">
        <f t="shared" si="17"/>
        <v>2.4444444444444446E-2</v>
      </c>
    </row>
    <row r="23" spans="1:27" ht="13.5" x14ac:dyDescent="0.25">
      <c r="A23" s="18">
        <v>15</v>
      </c>
      <c r="B23" s="89">
        <v>1</v>
      </c>
      <c r="C23" s="89">
        <v>1</v>
      </c>
      <c r="D23" s="20" t="str">
        <f t="shared" si="0"/>
        <v>2D</v>
      </c>
      <c r="E23" s="86" t="str">
        <f t="shared" si="1"/>
        <v>N.A.</v>
      </c>
      <c r="F23" s="20">
        <f t="shared" si="2"/>
        <v>1</v>
      </c>
      <c r="G23" s="22">
        <f t="shared" si="3"/>
        <v>1</v>
      </c>
      <c r="H23" s="20">
        <f t="shared" si="4"/>
        <v>2.4444444444444446E-2</v>
      </c>
      <c r="I23" s="19" t="s">
        <v>52</v>
      </c>
      <c r="J23" s="79">
        <f t="shared" si="5"/>
        <v>0.12</v>
      </c>
      <c r="L23" s="158">
        <v>0.3</v>
      </c>
      <c r="M23" s="158">
        <v>0.6</v>
      </c>
      <c r="N23" s="156">
        <f t="shared" si="6"/>
        <v>1.44E-4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66.557560975609761</v>
      </c>
      <c r="S23" s="156">
        <f t="shared" si="11"/>
        <v>7.2000000000000002E-5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110.8690909090909</v>
      </c>
      <c r="X23" s="158">
        <v>2</v>
      </c>
      <c r="Y23" s="158">
        <v>2</v>
      </c>
      <c r="Z23" s="151">
        <f t="shared" si="16"/>
        <v>88.713325942350338</v>
      </c>
      <c r="AA23" s="154">
        <f t="shared" si="17"/>
        <v>2.4444444444444446E-2</v>
      </c>
    </row>
    <row r="24" spans="1:27" ht="13.5" x14ac:dyDescent="0.25">
      <c r="A24" s="18">
        <v>16</v>
      </c>
      <c r="B24" s="89">
        <v>1</v>
      </c>
      <c r="C24" s="89">
        <v>1</v>
      </c>
      <c r="D24" s="20" t="str">
        <f t="shared" si="0"/>
        <v>2D</v>
      </c>
      <c r="E24" s="86" t="str">
        <f t="shared" si="1"/>
        <v>N.A.</v>
      </c>
      <c r="F24" s="20">
        <f t="shared" si="2"/>
        <v>1</v>
      </c>
      <c r="G24" s="22">
        <f t="shared" si="3"/>
        <v>1</v>
      </c>
      <c r="H24" s="20">
        <f t="shared" si="4"/>
        <v>2.4444444444444446E-2</v>
      </c>
      <c r="I24" s="19" t="s">
        <v>52</v>
      </c>
      <c r="J24" s="79">
        <f t="shared" si="5"/>
        <v>0.12</v>
      </c>
      <c r="L24" s="158">
        <v>0.3</v>
      </c>
      <c r="M24" s="158">
        <v>0.6</v>
      </c>
      <c r="N24" s="156">
        <f t="shared" si="6"/>
        <v>1.44E-4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66.557560975609761</v>
      </c>
      <c r="S24" s="156">
        <f t="shared" si="11"/>
        <v>7.2000000000000002E-5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110.8690909090909</v>
      </c>
      <c r="X24" s="158">
        <v>2</v>
      </c>
      <c r="Y24" s="158">
        <v>2</v>
      </c>
      <c r="Z24" s="151">
        <f t="shared" si="16"/>
        <v>88.713325942350338</v>
      </c>
      <c r="AA24" s="154">
        <f t="shared" si="17"/>
        <v>2.4444444444444446E-2</v>
      </c>
    </row>
    <row r="25" spans="1:27" ht="13.5" x14ac:dyDescent="0.25">
      <c r="A25" s="18">
        <v>17</v>
      </c>
      <c r="B25" s="89">
        <v>1</v>
      </c>
      <c r="C25" s="89">
        <v>1</v>
      </c>
      <c r="D25" s="20" t="str">
        <f t="shared" si="0"/>
        <v>2D</v>
      </c>
      <c r="E25" s="86" t="str">
        <f t="shared" si="1"/>
        <v>N.A.</v>
      </c>
      <c r="F25" s="20">
        <f t="shared" si="2"/>
        <v>1</v>
      </c>
      <c r="G25" s="22">
        <f t="shared" si="3"/>
        <v>1</v>
      </c>
      <c r="H25" s="20">
        <f t="shared" si="4"/>
        <v>2.4444444444444446E-2</v>
      </c>
      <c r="I25" s="19" t="s">
        <v>52</v>
      </c>
      <c r="J25" s="79">
        <f t="shared" si="5"/>
        <v>0.12</v>
      </c>
      <c r="L25" s="158">
        <v>0.3</v>
      </c>
      <c r="M25" s="158">
        <v>0.6</v>
      </c>
      <c r="N25" s="156">
        <f t="shared" si="6"/>
        <v>1.44E-4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66.557560975609761</v>
      </c>
      <c r="S25" s="156">
        <f t="shared" si="11"/>
        <v>7.2000000000000002E-5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110.8690909090909</v>
      </c>
      <c r="X25" s="158">
        <v>2</v>
      </c>
      <c r="Y25" s="158">
        <v>2</v>
      </c>
      <c r="Z25" s="151">
        <f t="shared" si="16"/>
        <v>88.713325942350338</v>
      </c>
      <c r="AA25" s="154">
        <f t="shared" si="17"/>
        <v>2.4444444444444446E-2</v>
      </c>
    </row>
    <row r="26" spans="1:27" ht="13.5" x14ac:dyDescent="0.25">
      <c r="A26" s="18">
        <v>18</v>
      </c>
      <c r="B26" s="89">
        <v>1</v>
      </c>
      <c r="C26" s="89">
        <v>1</v>
      </c>
      <c r="D26" s="20" t="str">
        <f t="shared" si="0"/>
        <v>2D</v>
      </c>
      <c r="E26" s="86" t="str">
        <f t="shared" si="1"/>
        <v>N.A.</v>
      </c>
      <c r="F26" s="20">
        <f t="shared" si="2"/>
        <v>1</v>
      </c>
      <c r="G26" s="22">
        <f t="shared" si="3"/>
        <v>1</v>
      </c>
      <c r="H26" s="20">
        <f t="shared" si="4"/>
        <v>2.4444444444444446E-2</v>
      </c>
      <c r="I26" s="19" t="s">
        <v>52</v>
      </c>
      <c r="J26" s="79">
        <f t="shared" si="5"/>
        <v>0.12</v>
      </c>
      <c r="L26" s="158">
        <v>0.3</v>
      </c>
      <c r="M26" s="158">
        <v>0.6</v>
      </c>
      <c r="N26" s="156">
        <f t="shared" si="6"/>
        <v>1.44E-4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66.557560975609761</v>
      </c>
      <c r="S26" s="156">
        <f t="shared" si="11"/>
        <v>7.2000000000000002E-5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110.8690909090909</v>
      </c>
      <c r="X26" s="158">
        <v>2</v>
      </c>
      <c r="Y26" s="158">
        <v>2</v>
      </c>
      <c r="Z26" s="151">
        <f t="shared" si="16"/>
        <v>88.713325942350338</v>
      </c>
      <c r="AA26" s="154">
        <f t="shared" si="17"/>
        <v>2.4444444444444446E-2</v>
      </c>
    </row>
    <row r="27" spans="1:27" ht="13.5" x14ac:dyDescent="0.25">
      <c r="A27" s="18">
        <v>19</v>
      </c>
      <c r="B27" s="89">
        <v>1</v>
      </c>
      <c r="C27" s="89">
        <v>1</v>
      </c>
      <c r="D27" s="20" t="str">
        <f t="shared" si="0"/>
        <v>2D</v>
      </c>
      <c r="E27" s="86" t="str">
        <f t="shared" si="1"/>
        <v>N.A.</v>
      </c>
      <c r="F27" s="20">
        <f t="shared" si="2"/>
        <v>1</v>
      </c>
      <c r="G27" s="22">
        <f t="shared" si="3"/>
        <v>1</v>
      </c>
      <c r="H27" s="20">
        <f t="shared" si="4"/>
        <v>2.4444444444444446E-2</v>
      </c>
      <c r="I27" s="19" t="s">
        <v>52</v>
      </c>
      <c r="J27" s="79">
        <f t="shared" si="5"/>
        <v>0.12</v>
      </c>
      <c r="L27" s="158">
        <v>0.3</v>
      </c>
      <c r="M27" s="158">
        <v>0.6</v>
      </c>
      <c r="N27" s="156">
        <f t="shared" si="6"/>
        <v>1.44E-4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66.557560975609761</v>
      </c>
      <c r="S27" s="156">
        <f t="shared" si="11"/>
        <v>7.2000000000000002E-5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110.8690909090909</v>
      </c>
      <c r="X27" s="158">
        <v>2</v>
      </c>
      <c r="Y27" s="158">
        <v>2</v>
      </c>
      <c r="Z27" s="151">
        <f t="shared" si="16"/>
        <v>88.713325942350338</v>
      </c>
      <c r="AA27" s="154">
        <f t="shared" si="17"/>
        <v>2.4444444444444446E-2</v>
      </c>
    </row>
    <row r="28" spans="1:27" ht="13.5" x14ac:dyDescent="0.25">
      <c r="A28" s="18">
        <v>20</v>
      </c>
      <c r="B28" s="89">
        <v>1</v>
      </c>
      <c r="C28" s="89">
        <v>1</v>
      </c>
      <c r="D28" s="20" t="str">
        <f t="shared" si="0"/>
        <v>2D</v>
      </c>
      <c r="E28" s="86" t="str">
        <f t="shared" si="1"/>
        <v>N.A.</v>
      </c>
      <c r="F28" s="20">
        <f t="shared" si="2"/>
        <v>1</v>
      </c>
      <c r="G28" s="22">
        <f t="shared" si="3"/>
        <v>1</v>
      </c>
      <c r="H28" s="20">
        <f t="shared" si="4"/>
        <v>2.4444444444444446E-2</v>
      </c>
      <c r="I28" s="19" t="s">
        <v>52</v>
      </c>
      <c r="J28" s="79">
        <f t="shared" si="5"/>
        <v>0.12</v>
      </c>
      <c r="L28" s="158">
        <v>0.3</v>
      </c>
      <c r="M28" s="158">
        <v>0.6</v>
      </c>
      <c r="N28" s="156">
        <f t="shared" si="6"/>
        <v>1.44E-4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66.557560975609761</v>
      </c>
      <c r="S28" s="156">
        <f t="shared" si="11"/>
        <v>7.2000000000000002E-5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110.8690909090909</v>
      </c>
      <c r="X28" s="158">
        <v>2</v>
      </c>
      <c r="Y28" s="158">
        <v>2</v>
      </c>
      <c r="Z28" s="151">
        <f t="shared" si="16"/>
        <v>88.713325942350338</v>
      </c>
      <c r="AA28" s="154">
        <f t="shared" si="17"/>
        <v>2.4444444444444446E-2</v>
      </c>
    </row>
    <row r="29" spans="1:27" ht="13.5" x14ac:dyDescent="0.25">
      <c r="A29" s="18">
        <v>21</v>
      </c>
      <c r="B29" s="89">
        <v>1</v>
      </c>
      <c r="C29" s="89">
        <v>1</v>
      </c>
      <c r="D29" s="20" t="str">
        <f t="shared" si="0"/>
        <v>2D</v>
      </c>
      <c r="E29" s="86" t="str">
        <f t="shared" si="1"/>
        <v>N.A.</v>
      </c>
      <c r="F29" s="20">
        <f t="shared" si="2"/>
        <v>1</v>
      </c>
      <c r="G29" s="22">
        <f t="shared" si="3"/>
        <v>1</v>
      </c>
      <c r="H29" s="20">
        <f t="shared" si="4"/>
        <v>2.4444444444444446E-2</v>
      </c>
      <c r="I29" s="19" t="s">
        <v>52</v>
      </c>
      <c r="J29" s="79">
        <f t="shared" si="5"/>
        <v>0.12</v>
      </c>
      <c r="L29" s="158">
        <v>0.3</v>
      </c>
      <c r="M29" s="158">
        <v>0.6</v>
      </c>
      <c r="N29" s="156">
        <f t="shared" si="6"/>
        <v>1.44E-4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66.557560975609761</v>
      </c>
      <c r="S29" s="156">
        <f t="shared" si="11"/>
        <v>7.2000000000000002E-5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110.8690909090909</v>
      </c>
      <c r="X29" s="158">
        <v>2</v>
      </c>
      <c r="Y29" s="158">
        <v>2</v>
      </c>
      <c r="Z29" s="151">
        <f t="shared" si="16"/>
        <v>88.713325942350338</v>
      </c>
      <c r="AA29" s="154">
        <f t="shared" si="17"/>
        <v>2.4444444444444446E-2</v>
      </c>
    </row>
    <row r="30" spans="1:27" ht="13.5" x14ac:dyDescent="0.25">
      <c r="A30" s="18">
        <v>22</v>
      </c>
      <c r="B30" s="89">
        <v>1</v>
      </c>
      <c r="C30" s="89">
        <v>1</v>
      </c>
      <c r="D30" s="20" t="str">
        <f t="shared" si="0"/>
        <v>2D</v>
      </c>
      <c r="E30" s="86" t="str">
        <f t="shared" si="1"/>
        <v>N.A.</v>
      </c>
      <c r="F30" s="20">
        <f t="shared" si="2"/>
        <v>1</v>
      </c>
      <c r="G30" s="22">
        <f t="shared" si="3"/>
        <v>1</v>
      </c>
      <c r="H30" s="20">
        <f t="shared" si="4"/>
        <v>2.4444444444444446E-2</v>
      </c>
      <c r="I30" s="19" t="s">
        <v>52</v>
      </c>
      <c r="J30" s="79">
        <f t="shared" si="5"/>
        <v>0.12</v>
      </c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ht="13.5" x14ac:dyDescent="0.25">
      <c r="A31" s="18">
        <v>23</v>
      </c>
      <c r="B31" s="89">
        <v>1</v>
      </c>
      <c r="C31" s="89">
        <v>1</v>
      </c>
      <c r="D31" s="20" t="str">
        <f t="shared" ref="D31:D58" si="18">IF((MAX(B31:C31)/MIN(B31:C31))&gt;2,"1D","2D")</f>
        <v>2D</v>
      </c>
      <c r="E31" s="86" t="str">
        <f t="shared" si="1"/>
        <v>N.A.</v>
      </c>
      <c r="F31" s="20">
        <f t="shared" ref="F31:F58" si="19">IF(D31="1D",MIN(B31:C31),MAX(B31:C31))</f>
        <v>1</v>
      </c>
      <c r="G31" s="22">
        <f t="shared" ref="G31:G58" si="20">MAX(B31:C31)/MIN(B31:C31)</f>
        <v>1</v>
      </c>
      <c r="H31" s="20">
        <f t="shared" ref="H31:H58" si="21">IF(D31="2d",(F31*(0.8+($D$6/14000)))/(36+9*G31),F31/E31)</f>
        <v>2.4444444444444446E-2</v>
      </c>
      <c r="I31" s="19" t="s">
        <v>52</v>
      </c>
      <c r="J31" s="79">
        <f t="shared" si="5"/>
        <v>0.12</v>
      </c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ht="13.5" x14ac:dyDescent="0.25">
      <c r="A32" s="18">
        <v>24</v>
      </c>
      <c r="B32" s="89">
        <v>1</v>
      </c>
      <c r="C32" s="89">
        <v>1</v>
      </c>
      <c r="D32" s="20" t="str">
        <f t="shared" si="18"/>
        <v>2D</v>
      </c>
      <c r="E32" s="86" t="str">
        <f t="shared" si="1"/>
        <v>N.A.</v>
      </c>
      <c r="F32" s="20">
        <f t="shared" si="19"/>
        <v>1</v>
      </c>
      <c r="G32" s="22">
        <f t="shared" si="20"/>
        <v>1</v>
      </c>
      <c r="H32" s="20">
        <f t="shared" si="21"/>
        <v>2.4444444444444446E-2</v>
      </c>
      <c r="I32" s="19" t="s">
        <v>52</v>
      </c>
      <c r="J32" s="79">
        <f t="shared" si="5"/>
        <v>0.12</v>
      </c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ht="13.5" x14ac:dyDescent="0.25">
      <c r="A33" s="18">
        <v>25</v>
      </c>
      <c r="B33" s="89">
        <v>1</v>
      </c>
      <c r="C33" s="89">
        <v>1</v>
      </c>
      <c r="D33" s="20" t="str">
        <f t="shared" si="18"/>
        <v>2D</v>
      </c>
      <c r="E33" s="86" t="str">
        <f t="shared" si="1"/>
        <v>N.A.</v>
      </c>
      <c r="F33" s="20">
        <f t="shared" si="19"/>
        <v>1</v>
      </c>
      <c r="G33" s="22">
        <f t="shared" si="20"/>
        <v>1</v>
      </c>
      <c r="H33" s="20">
        <f t="shared" si="21"/>
        <v>2.4444444444444446E-2</v>
      </c>
      <c r="I33" s="19" t="s">
        <v>52</v>
      </c>
      <c r="J33" s="79">
        <f t="shared" si="5"/>
        <v>0.12</v>
      </c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ht="13.5" x14ac:dyDescent="0.25">
      <c r="A34" s="18">
        <v>26</v>
      </c>
      <c r="B34" s="89">
        <v>1</v>
      </c>
      <c r="C34" s="89">
        <v>1</v>
      </c>
      <c r="D34" s="20" t="str">
        <f t="shared" si="18"/>
        <v>2D</v>
      </c>
      <c r="E34" s="86" t="str">
        <f t="shared" si="1"/>
        <v>N.A.</v>
      </c>
      <c r="F34" s="20">
        <f t="shared" si="19"/>
        <v>1</v>
      </c>
      <c r="G34" s="22">
        <f t="shared" si="20"/>
        <v>1</v>
      </c>
      <c r="H34" s="20">
        <f t="shared" si="21"/>
        <v>2.4444444444444446E-2</v>
      </c>
      <c r="I34" s="19" t="s">
        <v>52</v>
      </c>
      <c r="J34" s="79">
        <f t="shared" si="5"/>
        <v>0.12</v>
      </c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ht="13.5" x14ac:dyDescent="0.25">
      <c r="A35" s="18">
        <v>27</v>
      </c>
      <c r="B35" s="89">
        <v>1</v>
      </c>
      <c r="C35" s="89">
        <v>1</v>
      </c>
      <c r="D35" s="20" t="str">
        <f t="shared" si="18"/>
        <v>2D</v>
      </c>
      <c r="E35" s="86" t="str">
        <f t="shared" si="1"/>
        <v>N.A.</v>
      </c>
      <c r="F35" s="20">
        <f t="shared" si="19"/>
        <v>1</v>
      </c>
      <c r="G35" s="22">
        <f t="shared" si="20"/>
        <v>1</v>
      </c>
      <c r="H35" s="20">
        <f t="shared" si="21"/>
        <v>2.4444444444444446E-2</v>
      </c>
      <c r="I35" s="19" t="s">
        <v>52</v>
      </c>
      <c r="J35" s="79">
        <f t="shared" si="5"/>
        <v>0.12</v>
      </c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ht="13.5" x14ac:dyDescent="0.25">
      <c r="A36" s="18">
        <v>28</v>
      </c>
      <c r="B36" s="89">
        <v>1</v>
      </c>
      <c r="C36" s="89">
        <v>1</v>
      </c>
      <c r="D36" s="20" t="str">
        <f t="shared" si="18"/>
        <v>2D</v>
      </c>
      <c r="E36" s="86" t="str">
        <f t="shared" si="1"/>
        <v>N.A.</v>
      </c>
      <c r="F36" s="20">
        <f t="shared" si="19"/>
        <v>1</v>
      </c>
      <c r="G36" s="22">
        <f t="shared" si="20"/>
        <v>1</v>
      </c>
      <c r="H36" s="20">
        <f t="shared" si="21"/>
        <v>2.4444444444444446E-2</v>
      </c>
      <c r="I36" s="19" t="s">
        <v>52</v>
      </c>
      <c r="J36" s="79">
        <f t="shared" si="5"/>
        <v>0.12</v>
      </c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ht="13.5" x14ac:dyDescent="0.25">
      <c r="A37" s="18">
        <v>29</v>
      </c>
      <c r="B37" s="89">
        <v>1</v>
      </c>
      <c r="C37" s="89">
        <v>1</v>
      </c>
      <c r="D37" s="20" t="str">
        <f t="shared" si="18"/>
        <v>2D</v>
      </c>
      <c r="E37" s="86" t="str">
        <f t="shared" si="1"/>
        <v>N.A.</v>
      </c>
      <c r="F37" s="20">
        <f t="shared" si="19"/>
        <v>1</v>
      </c>
      <c r="G37" s="22">
        <f t="shared" si="20"/>
        <v>1</v>
      </c>
      <c r="H37" s="20">
        <f t="shared" si="21"/>
        <v>2.4444444444444446E-2</v>
      </c>
      <c r="I37" s="19" t="s">
        <v>52</v>
      </c>
      <c r="J37" s="79">
        <f t="shared" si="5"/>
        <v>0.12</v>
      </c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ht="13.5" x14ac:dyDescent="0.25">
      <c r="A38" s="18">
        <v>30</v>
      </c>
      <c r="B38" s="89">
        <v>1</v>
      </c>
      <c r="C38" s="89">
        <v>1</v>
      </c>
      <c r="D38" s="20" t="str">
        <f t="shared" si="18"/>
        <v>2D</v>
      </c>
      <c r="E38" s="86" t="str">
        <f t="shared" si="1"/>
        <v>N.A.</v>
      </c>
      <c r="F38" s="20">
        <f t="shared" si="19"/>
        <v>1</v>
      </c>
      <c r="G38" s="22">
        <f t="shared" si="20"/>
        <v>1</v>
      </c>
      <c r="H38" s="20">
        <f t="shared" si="21"/>
        <v>2.4444444444444446E-2</v>
      </c>
      <c r="I38" s="19" t="s">
        <v>52</v>
      </c>
      <c r="J38" s="79">
        <f t="shared" si="5"/>
        <v>0.12</v>
      </c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ht="13.5" x14ac:dyDescent="0.25">
      <c r="A39" s="18">
        <v>31</v>
      </c>
      <c r="B39" s="89">
        <v>1</v>
      </c>
      <c r="C39" s="89">
        <v>1</v>
      </c>
      <c r="D39" s="20" t="str">
        <f t="shared" si="18"/>
        <v>2D</v>
      </c>
      <c r="E39" s="86" t="str">
        <f t="shared" si="1"/>
        <v>N.A.</v>
      </c>
      <c r="F39" s="20">
        <f t="shared" si="19"/>
        <v>1</v>
      </c>
      <c r="G39" s="22">
        <f t="shared" si="20"/>
        <v>1</v>
      </c>
      <c r="H39" s="20">
        <f t="shared" si="21"/>
        <v>2.4444444444444446E-2</v>
      </c>
      <c r="I39" s="19" t="s">
        <v>52</v>
      </c>
      <c r="J39" s="79">
        <f t="shared" si="5"/>
        <v>0.12</v>
      </c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ht="13.5" x14ac:dyDescent="0.25">
      <c r="A40" s="18">
        <v>32</v>
      </c>
      <c r="B40" s="89">
        <v>1</v>
      </c>
      <c r="C40" s="89">
        <v>1</v>
      </c>
      <c r="D40" s="20" t="str">
        <f t="shared" si="18"/>
        <v>2D</v>
      </c>
      <c r="E40" s="86" t="str">
        <f t="shared" si="1"/>
        <v>N.A.</v>
      </c>
      <c r="F40" s="20">
        <f t="shared" si="19"/>
        <v>1</v>
      </c>
      <c r="G40" s="22">
        <f t="shared" si="20"/>
        <v>1</v>
      </c>
      <c r="H40" s="20">
        <f t="shared" si="21"/>
        <v>2.4444444444444446E-2</v>
      </c>
      <c r="I40" s="19" t="s">
        <v>52</v>
      </c>
      <c r="J40" s="79">
        <f t="shared" si="5"/>
        <v>0.12</v>
      </c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ht="13.5" x14ac:dyDescent="0.25">
      <c r="A41" s="18">
        <v>33</v>
      </c>
      <c r="B41" s="89">
        <v>1</v>
      </c>
      <c r="C41" s="89">
        <v>1</v>
      </c>
      <c r="D41" s="20" t="str">
        <f t="shared" si="18"/>
        <v>2D</v>
      </c>
      <c r="E41" s="86" t="str">
        <f t="shared" si="1"/>
        <v>N.A.</v>
      </c>
      <c r="F41" s="20">
        <f t="shared" si="19"/>
        <v>1</v>
      </c>
      <c r="G41" s="22">
        <f t="shared" si="20"/>
        <v>1</v>
      </c>
      <c r="H41" s="20">
        <f t="shared" si="21"/>
        <v>2.4444444444444446E-2</v>
      </c>
      <c r="I41" s="19" t="s">
        <v>52</v>
      </c>
      <c r="J41" s="79">
        <f t="shared" si="5"/>
        <v>0.12</v>
      </c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ht="13.5" x14ac:dyDescent="0.25">
      <c r="A42" s="18">
        <v>34</v>
      </c>
      <c r="B42" s="89">
        <v>1</v>
      </c>
      <c r="C42" s="89">
        <v>1</v>
      </c>
      <c r="D42" s="20" t="str">
        <f t="shared" si="18"/>
        <v>2D</v>
      </c>
      <c r="E42" s="86" t="str">
        <f t="shared" si="1"/>
        <v>N.A.</v>
      </c>
      <c r="F42" s="20">
        <f t="shared" si="19"/>
        <v>1</v>
      </c>
      <c r="G42" s="22">
        <f t="shared" si="20"/>
        <v>1</v>
      </c>
      <c r="H42" s="20">
        <f t="shared" si="21"/>
        <v>2.4444444444444446E-2</v>
      </c>
      <c r="I42" s="19" t="s">
        <v>52</v>
      </c>
      <c r="J42" s="79">
        <f t="shared" si="5"/>
        <v>0.12</v>
      </c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ht="13.5" x14ac:dyDescent="0.25">
      <c r="A43" s="18">
        <v>35</v>
      </c>
      <c r="B43" s="89">
        <v>1</v>
      </c>
      <c r="C43" s="89">
        <v>1</v>
      </c>
      <c r="D43" s="20" t="str">
        <f t="shared" si="18"/>
        <v>2D</v>
      </c>
      <c r="E43" s="86" t="str">
        <f t="shared" si="1"/>
        <v>N.A.</v>
      </c>
      <c r="F43" s="20">
        <f t="shared" si="19"/>
        <v>1</v>
      </c>
      <c r="G43" s="22">
        <f t="shared" si="20"/>
        <v>1</v>
      </c>
      <c r="H43" s="20">
        <f t="shared" si="21"/>
        <v>2.4444444444444446E-2</v>
      </c>
      <c r="I43" s="19" t="s">
        <v>52</v>
      </c>
      <c r="J43" s="79">
        <f t="shared" si="5"/>
        <v>0.12</v>
      </c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ht="13.5" x14ac:dyDescent="0.25">
      <c r="A44" s="18">
        <v>36</v>
      </c>
      <c r="B44" s="89">
        <v>1</v>
      </c>
      <c r="C44" s="89">
        <v>1</v>
      </c>
      <c r="D44" s="20" t="str">
        <f t="shared" si="18"/>
        <v>2D</v>
      </c>
      <c r="E44" s="86" t="str">
        <f t="shared" si="1"/>
        <v>N.A.</v>
      </c>
      <c r="F44" s="20">
        <f t="shared" si="19"/>
        <v>1</v>
      </c>
      <c r="G44" s="22">
        <f t="shared" si="20"/>
        <v>1</v>
      </c>
      <c r="H44" s="20">
        <f t="shared" si="21"/>
        <v>2.4444444444444446E-2</v>
      </c>
      <c r="I44" s="19" t="s">
        <v>52</v>
      </c>
      <c r="J44" s="79">
        <f t="shared" si="5"/>
        <v>0.12</v>
      </c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ht="13.5" x14ac:dyDescent="0.25">
      <c r="A45" s="18">
        <v>37</v>
      </c>
      <c r="B45" s="89">
        <v>1</v>
      </c>
      <c r="C45" s="89">
        <v>1</v>
      </c>
      <c r="D45" s="20" t="str">
        <f t="shared" si="18"/>
        <v>2D</v>
      </c>
      <c r="E45" s="86" t="str">
        <f t="shared" si="1"/>
        <v>N.A.</v>
      </c>
      <c r="F45" s="20">
        <f t="shared" si="19"/>
        <v>1</v>
      </c>
      <c r="G45" s="22">
        <f t="shared" si="20"/>
        <v>1</v>
      </c>
      <c r="H45" s="20">
        <f t="shared" si="21"/>
        <v>2.4444444444444446E-2</v>
      </c>
      <c r="I45" s="19" t="s">
        <v>52</v>
      </c>
      <c r="J45" s="79">
        <f t="shared" si="5"/>
        <v>0.12</v>
      </c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ht="13.5" x14ac:dyDescent="0.25">
      <c r="A46" s="18">
        <v>38</v>
      </c>
      <c r="B46" s="89">
        <v>1</v>
      </c>
      <c r="C46" s="89">
        <v>1</v>
      </c>
      <c r="D46" s="20" t="str">
        <f t="shared" si="18"/>
        <v>2D</v>
      </c>
      <c r="E46" s="86" t="str">
        <f t="shared" si="1"/>
        <v>N.A.</v>
      </c>
      <c r="F46" s="20">
        <f t="shared" si="19"/>
        <v>1</v>
      </c>
      <c r="G46" s="22">
        <f t="shared" si="20"/>
        <v>1</v>
      </c>
      <c r="H46" s="20">
        <f t="shared" si="21"/>
        <v>2.4444444444444446E-2</v>
      </c>
      <c r="I46" s="19" t="s">
        <v>52</v>
      </c>
      <c r="J46" s="79">
        <f t="shared" si="5"/>
        <v>0.12</v>
      </c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ht="13.5" x14ac:dyDescent="0.25">
      <c r="A47" s="18">
        <v>39</v>
      </c>
      <c r="B47" s="89">
        <v>1</v>
      </c>
      <c r="C47" s="89">
        <v>1</v>
      </c>
      <c r="D47" s="20" t="str">
        <f t="shared" si="18"/>
        <v>2D</v>
      </c>
      <c r="E47" s="86" t="str">
        <f t="shared" si="1"/>
        <v>N.A.</v>
      </c>
      <c r="F47" s="20">
        <f t="shared" si="19"/>
        <v>1</v>
      </c>
      <c r="G47" s="22">
        <f t="shared" si="20"/>
        <v>1</v>
      </c>
      <c r="H47" s="20">
        <f t="shared" si="21"/>
        <v>2.4444444444444446E-2</v>
      </c>
      <c r="I47" s="19" t="s">
        <v>52</v>
      </c>
      <c r="J47" s="79">
        <f t="shared" si="5"/>
        <v>0.12</v>
      </c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ht="13.5" x14ac:dyDescent="0.25">
      <c r="A48" s="18">
        <v>40</v>
      </c>
      <c r="B48" s="89">
        <v>1</v>
      </c>
      <c r="C48" s="89">
        <v>1</v>
      </c>
      <c r="D48" s="20" t="str">
        <f t="shared" si="18"/>
        <v>2D</v>
      </c>
      <c r="E48" s="86" t="str">
        <f t="shared" si="1"/>
        <v>N.A.</v>
      </c>
      <c r="F48" s="20">
        <f t="shared" si="19"/>
        <v>1</v>
      </c>
      <c r="G48" s="22">
        <f t="shared" si="20"/>
        <v>1</v>
      </c>
      <c r="H48" s="20">
        <f t="shared" si="21"/>
        <v>2.4444444444444446E-2</v>
      </c>
      <c r="I48" s="19" t="s">
        <v>52</v>
      </c>
      <c r="J48" s="79">
        <f t="shared" si="5"/>
        <v>0.12</v>
      </c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ht="13.5" x14ac:dyDescent="0.25">
      <c r="A49" s="18">
        <v>41</v>
      </c>
      <c r="B49" s="89">
        <v>1</v>
      </c>
      <c r="C49" s="89">
        <v>1</v>
      </c>
      <c r="D49" s="20" t="str">
        <f t="shared" si="18"/>
        <v>2D</v>
      </c>
      <c r="E49" s="86" t="str">
        <f t="shared" si="1"/>
        <v>N.A.</v>
      </c>
      <c r="F49" s="20">
        <f t="shared" si="19"/>
        <v>1</v>
      </c>
      <c r="G49" s="22">
        <f t="shared" si="20"/>
        <v>1</v>
      </c>
      <c r="H49" s="20">
        <f t="shared" si="21"/>
        <v>2.4444444444444446E-2</v>
      </c>
      <c r="I49" s="19" t="s">
        <v>52</v>
      </c>
      <c r="J49" s="79">
        <f t="shared" si="5"/>
        <v>0.12</v>
      </c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ht="13.5" x14ac:dyDescent="0.25">
      <c r="A50" s="18">
        <v>42</v>
      </c>
      <c r="B50" s="89">
        <v>1</v>
      </c>
      <c r="C50" s="89">
        <v>1</v>
      </c>
      <c r="D50" s="20" t="str">
        <f t="shared" ref="D50:D57" si="22">IF((MAX(B50:C50)/MIN(B50:C50))&gt;2,"1D","2D")</f>
        <v>2D</v>
      </c>
      <c r="E50" s="86" t="str">
        <f t="shared" si="1"/>
        <v>N.A.</v>
      </c>
      <c r="F50" s="20">
        <f t="shared" ref="F50:F57" si="23">IF(D50="1D",MIN(B50:C50),MAX(B50:C50))</f>
        <v>1</v>
      </c>
      <c r="G50" s="22">
        <f t="shared" ref="G50:G57" si="24">MAX(B50:C50)/MIN(B50:C50)</f>
        <v>1</v>
      </c>
      <c r="H50" s="20">
        <f t="shared" ref="H50:H57" si="25">IF(D50="2d",(F50*(0.8+($D$6/14000)))/(36+9*G50),F50/E50)</f>
        <v>2.4444444444444446E-2</v>
      </c>
      <c r="I50" s="19" t="s">
        <v>52</v>
      </c>
      <c r="J50" s="79">
        <f t="shared" si="5"/>
        <v>0.12</v>
      </c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ht="13.5" x14ac:dyDescent="0.25">
      <c r="A51" s="18">
        <v>43</v>
      </c>
      <c r="B51" s="89">
        <v>1</v>
      </c>
      <c r="C51" s="89">
        <v>1</v>
      </c>
      <c r="D51" s="20" t="str">
        <f t="shared" si="22"/>
        <v>2D</v>
      </c>
      <c r="E51" s="86" t="str">
        <f t="shared" si="1"/>
        <v>N.A.</v>
      </c>
      <c r="F51" s="20">
        <f t="shared" si="23"/>
        <v>1</v>
      </c>
      <c r="G51" s="22">
        <f t="shared" si="24"/>
        <v>1</v>
      </c>
      <c r="H51" s="20">
        <f t="shared" si="25"/>
        <v>2.4444444444444446E-2</v>
      </c>
      <c r="I51" s="19" t="s">
        <v>52</v>
      </c>
      <c r="J51" s="79">
        <f t="shared" si="5"/>
        <v>0.12</v>
      </c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ht="13.5" x14ac:dyDescent="0.25">
      <c r="A52" s="18">
        <v>44</v>
      </c>
      <c r="B52" s="89">
        <v>1</v>
      </c>
      <c r="C52" s="89">
        <v>1</v>
      </c>
      <c r="D52" s="20" t="str">
        <f t="shared" si="22"/>
        <v>2D</v>
      </c>
      <c r="E52" s="86" t="str">
        <f t="shared" si="1"/>
        <v>N.A.</v>
      </c>
      <c r="F52" s="20">
        <f t="shared" si="23"/>
        <v>1</v>
      </c>
      <c r="G52" s="22">
        <f t="shared" si="24"/>
        <v>1</v>
      </c>
      <c r="H52" s="20">
        <f t="shared" si="25"/>
        <v>2.4444444444444446E-2</v>
      </c>
      <c r="I52" s="19" t="s">
        <v>52</v>
      </c>
      <c r="J52" s="79">
        <f t="shared" si="5"/>
        <v>0.12</v>
      </c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ht="13.5" x14ac:dyDescent="0.25">
      <c r="A53" s="18">
        <v>45</v>
      </c>
      <c r="B53" s="89">
        <v>1</v>
      </c>
      <c r="C53" s="89">
        <v>1</v>
      </c>
      <c r="D53" s="20" t="str">
        <f t="shared" si="22"/>
        <v>2D</v>
      </c>
      <c r="E53" s="86" t="str">
        <f t="shared" si="1"/>
        <v>N.A.</v>
      </c>
      <c r="F53" s="20">
        <f t="shared" si="23"/>
        <v>1</v>
      </c>
      <c r="G53" s="22">
        <f t="shared" si="24"/>
        <v>1</v>
      </c>
      <c r="H53" s="20">
        <f t="shared" si="25"/>
        <v>2.4444444444444446E-2</v>
      </c>
      <c r="I53" s="19" t="s">
        <v>52</v>
      </c>
      <c r="J53" s="79">
        <f t="shared" si="5"/>
        <v>0.12</v>
      </c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ht="13.5" x14ac:dyDescent="0.25">
      <c r="A54" s="18">
        <v>46</v>
      </c>
      <c r="B54" s="89">
        <v>1</v>
      </c>
      <c r="C54" s="89">
        <v>1</v>
      </c>
      <c r="D54" s="20" t="str">
        <f t="shared" si="22"/>
        <v>2D</v>
      </c>
      <c r="E54" s="86" t="str">
        <f t="shared" si="1"/>
        <v>N.A.</v>
      </c>
      <c r="F54" s="20">
        <f t="shared" si="23"/>
        <v>1</v>
      </c>
      <c r="G54" s="22">
        <f t="shared" si="24"/>
        <v>1</v>
      </c>
      <c r="H54" s="20">
        <f t="shared" si="25"/>
        <v>2.4444444444444446E-2</v>
      </c>
      <c r="I54" s="19" t="s">
        <v>52</v>
      </c>
      <c r="J54" s="79">
        <f t="shared" si="5"/>
        <v>0.12</v>
      </c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ht="13.5" x14ac:dyDescent="0.25">
      <c r="A55" s="18">
        <v>47</v>
      </c>
      <c r="B55" s="89">
        <v>1</v>
      </c>
      <c r="C55" s="89">
        <v>1</v>
      </c>
      <c r="D55" s="20" t="str">
        <f t="shared" si="22"/>
        <v>2D</v>
      </c>
      <c r="E55" s="86" t="str">
        <f t="shared" si="1"/>
        <v>N.A.</v>
      </c>
      <c r="F55" s="20">
        <f t="shared" si="23"/>
        <v>1</v>
      </c>
      <c r="G55" s="22">
        <f t="shared" si="24"/>
        <v>1</v>
      </c>
      <c r="H55" s="20">
        <f t="shared" si="25"/>
        <v>2.4444444444444446E-2</v>
      </c>
      <c r="I55" s="19" t="s">
        <v>52</v>
      </c>
      <c r="J55" s="79">
        <f t="shared" si="5"/>
        <v>0.12</v>
      </c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ht="13.5" x14ac:dyDescent="0.25">
      <c r="A56" s="18">
        <v>48</v>
      </c>
      <c r="B56" s="89">
        <v>1</v>
      </c>
      <c r="C56" s="89">
        <v>1</v>
      </c>
      <c r="D56" s="20" t="str">
        <f t="shared" si="22"/>
        <v>2D</v>
      </c>
      <c r="E56" s="86" t="str">
        <f t="shared" si="1"/>
        <v>N.A.</v>
      </c>
      <c r="F56" s="20">
        <f t="shared" si="23"/>
        <v>1</v>
      </c>
      <c r="G56" s="22">
        <f t="shared" si="24"/>
        <v>1</v>
      </c>
      <c r="H56" s="20">
        <f t="shared" si="25"/>
        <v>2.4444444444444446E-2</v>
      </c>
      <c r="I56" s="19" t="s">
        <v>52</v>
      </c>
      <c r="J56" s="79">
        <f t="shared" si="5"/>
        <v>0.12</v>
      </c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ht="13.5" x14ac:dyDescent="0.25">
      <c r="A57" s="18">
        <v>49</v>
      </c>
      <c r="B57" s="89">
        <v>1</v>
      </c>
      <c r="C57" s="89">
        <v>1</v>
      </c>
      <c r="D57" s="20" t="str">
        <f t="shared" si="22"/>
        <v>2D</v>
      </c>
      <c r="E57" s="86" t="str">
        <f t="shared" si="1"/>
        <v>N.A.</v>
      </c>
      <c r="F57" s="20">
        <f t="shared" si="23"/>
        <v>1</v>
      </c>
      <c r="G57" s="22">
        <f t="shared" si="24"/>
        <v>1</v>
      </c>
      <c r="H57" s="20">
        <f t="shared" si="25"/>
        <v>2.4444444444444446E-2</v>
      </c>
      <c r="I57" s="19" t="s">
        <v>52</v>
      </c>
      <c r="J57" s="79">
        <f t="shared" si="5"/>
        <v>0.12</v>
      </c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ht="13.5" x14ac:dyDescent="0.25">
      <c r="A58" s="18">
        <v>50</v>
      </c>
      <c r="B58" s="89">
        <v>1</v>
      </c>
      <c r="C58" s="89">
        <v>1</v>
      </c>
      <c r="D58" s="20" t="str">
        <f t="shared" si="18"/>
        <v>2D</v>
      </c>
      <c r="E58" s="86" t="str">
        <f t="shared" si="1"/>
        <v>N.A.</v>
      </c>
      <c r="F58" s="20">
        <f t="shared" si="19"/>
        <v>1</v>
      </c>
      <c r="G58" s="22">
        <f t="shared" si="20"/>
        <v>1</v>
      </c>
      <c r="H58" s="20">
        <f t="shared" si="21"/>
        <v>2.4444444444444446E-2</v>
      </c>
      <c r="I58" s="19" t="s">
        <v>52</v>
      </c>
      <c r="J58" s="79">
        <f t="shared" si="5"/>
        <v>0.12</v>
      </c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mergeCells count="11">
    <mergeCell ref="N7:R7"/>
    <mergeCell ref="S7:W7"/>
    <mergeCell ref="B3:D3"/>
    <mergeCell ref="H8:J8"/>
    <mergeCell ref="B2:D2"/>
    <mergeCell ref="E2:F2"/>
    <mergeCell ref="G2:I2"/>
    <mergeCell ref="E3:F3"/>
    <mergeCell ref="G3:I3"/>
    <mergeCell ref="J3:J4"/>
    <mergeCell ref="F4:I4"/>
  </mergeCells>
  <pageMargins left="0.7" right="0.7" top="0.75" bottom="0.75" header="0.3" footer="0.3"/>
  <pageSetup orientation="portrait" verticalDpi="0" r:id="rId1"/>
  <ignoredErrors>
    <ignoredError sqref="F9:G2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385-3765-445A-AEFC-FA142F941364}">
  <sheetPr codeName="Hoja19"/>
  <dimension ref="A1:AC58"/>
  <sheetViews>
    <sheetView zoomScaleNormal="100" workbookViewId="0">
      <selection activeCell="F5" sqref="F5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" bestFit="1" customWidth="1"/>
    <col min="13" max="13" width="5.7109375" bestFit="1" customWidth="1"/>
    <col min="14" max="14" width="8.42578125" bestFit="1" customWidth="1"/>
    <col min="15" max="15" width="4.85546875" bestFit="1" customWidth="1"/>
    <col min="16" max="16" width="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6" width="5.855468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E3</v>
      </c>
    </row>
    <row r="2" spans="1:29" ht="18" customHeight="1" x14ac:dyDescent="0.25">
      <c r="A2" s="57"/>
      <c r="B2" s="214" t="str">
        <f>'Espesor Earlette'!B2:D2</f>
        <v>INGENIERO DEMO</v>
      </c>
      <c r="C2" s="214"/>
      <c r="D2" s="215"/>
      <c r="E2" s="216" t="s">
        <v>0</v>
      </c>
      <c r="F2" s="217"/>
      <c r="G2" s="218" t="str">
        <f>'Espesor Earlette'!G2:I2</f>
        <v>Proyecto Demo</v>
      </c>
      <c r="H2" s="218"/>
      <c r="I2" s="219"/>
      <c r="J2" s="8" t="s">
        <v>1</v>
      </c>
      <c r="AB2" t="str">
        <f ca="1">_xlfn.TEXTAFTER(AB1,"Espesor")</f>
        <v xml:space="preserve"> E3</v>
      </c>
      <c r="AC2" t="str">
        <f ca="1">_xlfn.CONCAT(AB2," ","/")</f>
        <v xml:space="preserve"> E3 /</v>
      </c>
    </row>
    <row r="3" spans="1:29" ht="18" customHeight="1" x14ac:dyDescent="0.25">
      <c r="A3" s="58"/>
      <c r="B3" s="210" t="str">
        <f>'Espesor Earlette'!B3</f>
        <v>INGENIERO CIVIL</v>
      </c>
      <c r="C3" s="211"/>
      <c r="D3" s="212"/>
      <c r="E3" s="200" t="s">
        <v>3</v>
      </c>
      <c r="F3" s="201"/>
      <c r="G3" s="220">
        <f>'Espesor Earlette'!G3:I3</f>
        <v>45904</v>
      </c>
      <c r="H3" s="221"/>
      <c r="I3" s="222"/>
      <c r="J3" s="202">
        <v>1</v>
      </c>
    </row>
    <row r="4" spans="1:29" ht="18" customHeight="1" thickBot="1" x14ac:dyDescent="0.3">
      <c r="A4" s="59"/>
      <c r="B4" s="56" t="s">
        <v>102</v>
      </c>
      <c r="C4" s="53">
        <f>'Espesor Earlette'!C4</f>
        <v>0</v>
      </c>
      <c r="D4" s="54"/>
      <c r="E4" s="12" t="s">
        <v>4</v>
      </c>
      <c r="F4" s="223" t="str">
        <f ca="1">_xlfn.CONCAT("Espesor"," ","de"," ","Losas"," ",AB2)</f>
        <v>Espesor de Losas  E3</v>
      </c>
      <c r="G4" s="224"/>
      <c r="H4" s="224"/>
      <c r="I4" s="225"/>
      <c r="J4" s="203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53</v>
      </c>
      <c r="B6" s="13">
        <f>IF(COUNTIFS(C9:C58,"&lt;&gt;1", B9:B58,"&lt;&gt;1")=0, 50, COUNTIFS(C9:C58,"&lt;&gt;1", B9:B58,"&lt;&gt;1"))</f>
        <v>50</v>
      </c>
      <c r="C6" s="4" t="s">
        <v>42</v>
      </c>
      <c r="D6" s="5">
        <v>4200</v>
      </c>
      <c r="E6" s="3" t="s">
        <v>43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53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  <c r="X7" s="6"/>
      <c r="Y7" s="6"/>
      <c r="Z7" s="6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21" t="s">
        <v>50</v>
      </c>
      <c r="H8" s="188" t="s">
        <v>51</v>
      </c>
      <c r="I8" s="188"/>
      <c r="J8" s="213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8">
        <v>1</v>
      </c>
      <c r="B9" s="89">
        <v>1</v>
      </c>
      <c r="C9" s="89">
        <v>1</v>
      </c>
      <c r="D9" s="20" t="str">
        <f>IF((MAX(B9:C9)/MIN(B9:C9))&gt;2,"1D","2D")</f>
        <v>2D</v>
      </c>
      <c r="E9" s="86" t="str">
        <f>IF(D9="2D","N.A.",10)</f>
        <v>N.A.</v>
      </c>
      <c r="F9" s="20">
        <f>IF(D9="1D",MIN(B9:C9),MAX(B9:C9))</f>
        <v>1</v>
      </c>
      <c r="G9" s="22">
        <f>MAX(B9:C9)/MIN(B9:C9)</f>
        <v>1</v>
      </c>
      <c r="H9" s="20">
        <f>IF(D9="2d",(F9*(0.8+($D$6/14000)))/(36+9*G9),F9/E9)</f>
        <v>2.4444444444444446E-2</v>
      </c>
      <c r="I9" s="19" t="s">
        <v>52</v>
      </c>
      <c r="J9" s="79">
        <f>MAX(0.12,ROUND(H9,2))</f>
        <v>0.12</v>
      </c>
      <c r="L9" s="158">
        <v>0.3</v>
      </c>
      <c r="M9" s="158">
        <v>0.6</v>
      </c>
      <c r="N9" s="156">
        <f>+F9*J9*J9*J9/12</f>
        <v>1.44E-4</v>
      </c>
      <c r="O9" s="151">
        <f>+IF(4*J9&gt;=M9-J9,M9-J9,4*J9)*2+L9</f>
        <v>1.26</v>
      </c>
      <c r="P9" s="151">
        <f>+M9-(0.5*(((O9-L9)*J9*J9)+L9*M9*M9)/((O9-L9)*J9+L9*M9))</f>
        <v>0.39365853658536587</v>
      </c>
      <c r="Q9" s="156">
        <f>+(O9-L9)*J9*J9*J9/12+L9*M9*M9*M9/12+(O9-L9)*J9*POWER(M9-J9*0.5-P9,2)+L9*M9*POWER(P9-0.5*M9,2)</f>
        <v>9.5842887804878062E-3</v>
      </c>
      <c r="R9" s="152">
        <f>+Q9/N9</f>
        <v>66.557560975609761</v>
      </c>
      <c r="S9" s="156">
        <f>+F9*J9*J9*J9*0.5/12</f>
        <v>7.2000000000000002E-5</v>
      </c>
      <c r="T9" s="155">
        <f>+IF(4*J9&gt;=M9-J9,M9-J9,4*J9)+L9</f>
        <v>0.78</v>
      </c>
      <c r="U9" s="154">
        <f>+M9-(0.5*(((T9-L9)*J9*J9)+L9*M9*M9)/((T9-L9)*J9+L9*M9))</f>
        <v>0.35818181818181816</v>
      </c>
      <c r="V9" s="156">
        <f>+(T9-L9)*J9*J9*J9/12+L9*M9*M9*M9/12+(T9-L9)*J9*POWER(M9-J9*0.5-U9,2)+L9*M9*POWER(U9-0.5*M9,2)</f>
        <v>7.9825745454545453E-3</v>
      </c>
      <c r="W9" s="152">
        <f>+V9/S9</f>
        <v>110.8690909090909</v>
      </c>
      <c r="X9" s="158">
        <v>2</v>
      </c>
      <c r="Y9" s="158">
        <v>2</v>
      </c>
      <c r="Z9" s="151">
        <f>+(X9*R9+Y9*W9)/4</f>
        <v>88.713325942350338</v>
      </c>
      <c r="AA9" s="154">
        <f>+(F9*(0.8+($D$6/14000)))/(36+5*((IF(Z9&gt;2,2,Z9))-0.2)*G9)</f>
        <v>2.4444444444444446E-2</v>
      </c>
    </row>
    <row r="10" spans="1:29" ht="13.5" x14ac:dyDescent="0.25">
      <c r="A10" s="18">
        <v>2</v>
      </c>
      <c r="B10" s="89">
        <v>1</v>
      </c>
      <c r="C10" s="89">
        <v>1</v>
      </c>
      <c r="D10" s="20" t="str">
        <f t="shared" ref="D10:D58" si="0">IF((MAX(B10:C10)/MIN(B10:C10))&gt;2,"1D","2D")</f>
        <v>2D</v>
      </c>
      <c r="E10" s="86" t="str">
        <f t="shared" ref="E10:E58" si="1">IF(D10="2D","N.A.",10)</f>
        <v>N.A.</v>
      </c>
      <c r="F10" s="20">
        <f t="shared" ref="F10:F58" si="2">IF(D10="1D",MIN(B10:C10),MAX(B10:C10))</f>
        <v>1</v>
      </c>
      <c r="G10" s="22">
        <f t="shared" ref="G10:G58" si="3">MAX(B10:C10)/MIN(B10:C10)</f>
        <v>1</v>
      </c>
      <c r="H10" s="20">
        <f t="shared" ref="H10:H58" si="4">IF(D10="2d",(F10*(0.8+($D$6/14000)))/(36+9*G10),F10/E10)</f>
        <v>2.4444444444444446E-2</v>
      </c>
      <c r="I10" s="19" t="s">
        <v>52</v>
      </c>
      <c r="J10" s="79">
        <f t="shared" ref="J10:J58" si="5">MAX(0.12,ROUND(H10,2))</f>
        <v>0.12</v>
      </c>
      <c r="L10" s="158">
        <v>0.3</v>
      </c>
      <c r="M10" s="158">
        <v>0.6</v>
      </c>
      <c r="N10" s="156">
        <f t="shared" ref="N10:N58" si="6">+F10*J10*J10*J10/12</f>
        <v>1.44E-4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66.557560975609761</v>
      </c>
      <c r="S10" s="156">
        <f t="shared" ref="S10:S58" si="11">+F10*J10*J10*J10*0.5/12</f>
        <v>7.2000000000000002E-5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110.8690909090909</v>
      </c>
      <c r="X10" s="158">
        <v>2</v>
      </c>
      <c r="Y10" s="158">
        <v>2</v>
      </c>
      <c r="Z10" s="151">
        <f t="shared" ref="Z10:Z58" si="16">+(X10*R10+Y10*W10)/4</f>
        <v>88.713325942350338</v>
      </c>
      <c r="AA10" s="154">
        <f t="shared" ref="AA10:AA58" si="17">+(F10*(0.8+($D$6/14000)))/(36+5*((IF(Z10&gt;2,2,Z10))-0.2)*G10)</f>
        <v>2.4444444444444446E-2</v>
      </c>
    </row>
    <row r="11" spans="1:29" ht="13.5" x14ac:dyDescent="0.25">
      <c r="A11" s="18">
        <v>3</v>
      </c>
      <c r="B11" s="89">
        <v>1</v>
      </c>
      <c r="C11" s="89">
        <v>1</v>
      </c>
      <c r="D11" s="20" t="str">
        <f t="shared" si="0"/>
        <v>2D</v>
      </c>
      <c r="E11" s="86" t="str">
        <f t="shared" si="1"/>
        <v>N.A.</v>
      </c>
      <c r="F11" s="20">
        <f t="shared" si="2"/>
        <v>1</v>
      </c>
      <c r="G11" s="22">
        <f t="shared" si="3"/>
        <v>1</v>
      </c>
      <c r="H11" s="20">
        <f t="shared" si="4"/>
        <v>2.4444444444444446E-2</v>
      </c>
      <c r="I11" s="19" t="s">
        <v>52</v>
      </c>
      <c r="J11" s="79">
        <f t="shared" si="5"/>
        <v>0.12</v>
      </c>
      <c r="L11" s="158">
        <v>0.3</v>
      </c>
      <c r="M11" s="158">
        <v>0.6</v>
      </c>
      <c r="N11" s="156">
        <f t="shared" si="6"/>
        <v>1.44E-4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66.557560975609761</v>
      </c>
      <c r="S11" s="156">
        <f t="shared" si="11"/>
        <v>7.2000000000000002E-5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110.8690909090909</v>
      </c>
      <c r="X11" s="158">
        <v>2</v>
      </c>
      <c r="Y11" s="158">
        <v>2</v>
      </c>
      <c r="Z11" s="151">
        <f t="shared" si="16"/>
        <v>88.713325942350338</v>
      </c>
      <c r="AA11" s="154">
        <f t="shared" si="17"/>
        <v>2.4444444444444446E-2</v>
      </c>
    </row>
    <row r="12" spans="1:29" ht="13.5" x14ac:dyDescent="0.25">
      <c r="A12" s="18">
        <v>4</v>
      </c>
      <c r="B12" s="89">
        <v>1</v>
      </c>
      <c r="C12" s="89">
        <v>1</v>
      </c>
      <c r="D12" s="20" t="str">
        <f t="shared" si="0"/>
        <v>2D</v>
      </c>
      <c r="E12" s="86" t="str">
        <f t="shared" si="1"/>
        <v>N.A.</v>
      </c>
      <c r="F12" s="20">
        <f t="shared" si="2"/>
        <v>1</v>
      </c>
      <c r="G12" s="22">
        <f t="shared" si="3"/>
        <v>1</v>
      </c>
      <c r="H12" s="20">
        <f t="shared" si="4"/>
        <v>2.4444444444444446E-2</v>
      </c>
      <c r="I12" s="19" t="s">
        <v>52</v>
      </c>
      <c r="J12" s="79">
        <f t="shared" si="5"/>
        <v>0.12</v>
      </c>
      <c r="L12" s="158">
        <v>0.3</v>
      </c>
      <c r="M12" s="158">
        <v>0.6</v>
      </c>
      <c r="N12" s="156">
        <f t="shared" si="6"/>
        <v>1.44E-4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66.557560975609761</v>
      </c>
      <c r="S12" s="156">
        <f t="shared" si="11"/>
        <v>7.2000000000000002E-5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110.8690909090909</v>
      </c>
      <c r="X12" s="158">
        <v>2</v>
      </c>
      <c r="Y12" s="158">
        <v>2</v>
      </c>
      <c r="Z12" s="151">
        <f t="shared" si="16"/>
        <v>88.713325942350338</v>
      </c>
      <c r="AA12" s="154">
        <f t="shared" si="17"/>
        <v>2.4444444444444446E-2</v>
      </c>
    </row>
    <row r="13" spans="1:29" ht="13.5" x14ac:dyDescent="0.25">
      <c r="A13" s="18">
        <v>5</v>
      </c>
      <c r="B13" s="89">
        <v>1</v>
      </c>
      <c r="C13" s="89">
        <v>1</v>
      </c>
      <c r="D13" s="20" t="str">
        <f t="shared" si="0"/>
        <v>2D</v>
      </c>
      <c r="E13" s="86" t="str">
        <f t="shared" si="1"/>
        <v>N.A.</v>
      </c>
      <c r="F13" s="20">
        <f t="shared" si="2"/>
        <v>1</v>
      </c>
      <c r="G13" s="22">
        <f t="shared" si="3"/>
        <v>1</v>
      </c>
      <c r="H13" s="20">
        <f t="shared" si="4"/>
        <v>2.4444444444444446E-2</v>
      </c>
      <c r="I13" s="19" t="s">
        <v>52</v>
      </c>
      <c r="J13" s="79">
        <f t="shared" si="5"/>
        <v>0.12</v>
      </c>
      <c r="L13" s="158">
        <v>0.3</v>
      </c>
      <c r="M13" s="158">
        <v>0.6</v>
      </c>
      <c r="N13" s="156">
        <f t="shared" si="6"/>
        <v>1.44E-4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66.557560975609761</v>
      </c>
      <c r="S13" s="156">
        <f t="shared" si="11"/>
        <v>7.2000000000000002E-5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110.8690909090909</v>
      </c>
      <c r="X13" s="158">
        <v>2</v>
      </c>
      <c r="Y13" s="158">
        <v>2</v>
      </c>
      <c r="Z13" s="151">
        <f t="shared" si="16"/>
        <v>88.713325942350338</v>
      </c>
      <c r="AA13" s="154">
        <f t="shared" si="17"/>
        <v>2.4444444444444446E-2</v>
      </c>
    </row>
    <row r="14" spans="1:29" ht="13.5" x14ac:dyDescent="0.25">
      <c r="A14" s="18">
        <v>6</v>
      </c>
      <c r="B14" s="89">
        <v>1</v>
      </c>
      <c r="C14" s="89">
        <v>1</v>
      </c>
      <c r="D14" s="20" t="str">
        <f t="shared" si="0"/>
        <v>2D</v>
      </c>
      <c r="E14" s="86" t="str">
        <f t="shared" si="1"/>
        <v>N.A.</v>
      </c>
      <c r="F14" s="20">
        <f t="shared" si="2"/>
        <v>1</v>
      </c>
      <c r="G14" s="22">
        <f t="shared" si="3"/>
        <v>1</v>
      </c>
      <c r="H14" s="20">
        <f t="shared" si="4"/>
        <v>2.4444444444444446E-2</v>
      </c>
      <c r="I14" s="19" t="s">
        <v>52</v>
      </c>
      <c r="J14" s="79">
        <f t="shared" si="5"/>
        <v>0.12</v>
      </c>
      <c r="L14" s="158">
        <v>0.3</v>
      </c>
      <c r="M14" s="158">
        <v>0.6</v>
      </c>
      <c r="N14" s="156">
        <f t="shared" si="6"/>
        <v>1.44E-4</v>
      </c>
      <c r="O14" s="151">
        <f t="shared" si="7"/>
        <v>1.26</v>
      </c>
      <c r="P14" s="151">
        <f t="shared" si="8"/>
        <v>0.39365853658536587</v>
      </c>
      <c r="Q14" s="156">
        <f t="shared" si="9"/>
        <v>9.5842887804878062E-3</v>
      </c>
      <c r="R14" s="152">
        <f t="shared" si="10"/>
        <v>66.557560975609761</v>
      </c>
      <c r="S14" s="156">
        <f t="shared" si="11"/>
        <v>7.2000000000000002E-5</v>
      </c>
      <c r="T14" s="155">
        <f t="shared" si="12"/>
        <v>0.78</v>
      </c>
      <c r="U14" s="154">
        <f t="shared" si="13"/>
        <v>0.35818181818181816</v>
      </c>
      <c r="V14" s="156">
        <f t="shared" si="14"/>
        <v>7.9825745454545453E-3</v>
      </c>
      <c r="W14" s="152">
        <f t="shared" si="15"/>
        <v>110.8690909090909</v>
      </c>
      <c r="X14" s="158">
        <v>2</v>
      </c>
      <c r="Y14" s="158">
        <v>2</v>
      </c>
      <c r="Z14" s="151">
        <f t="shared" si="16"/>
        <v>88.713325942350338</v>
      </c>
      <c r="AA14" s="154">
        <f t="shared" si="17"/>
        <v>2.4444444444444446E-2</v>
      </c>
    </row>
    <row r="15" spans="1:29" ht="13.5" x14ac:dyDescent="0.25">
      <c r="A15" s="18">
        <v>7</v>
      </c>
      <c r="B15" s="89">
        <v>1</v>
      </c>
      <c r="C15" s="89">
        <v>1</v>
      </c>
      <c r="D15" s="20" t="str">
        <f t="shared" si="0"/>
        <v>2D</v>
      </c>
      <c r="E15" s="86" t="str">
        <f t="shared" si="1"/>
        <v>N.A.</v>
      </c>
      <c r="F15" s="20">
        <f t="shared" si="2"/>
        <v>1</v>
      </c>
      <c r="G15" s="22">
        <f t="shared" si="3"/>
        <v>1</v>
      </c>
      <c r="H15" s="20">
        <f t="shared" si="4"/>
        <v>2.4444444444444446E-2</v>
      </c>
      <c r="I15" s="19" t="s">
        <v>52</v>
      </c>
      <c r="J15" s="79">
        <f t="shared" si="5"/>
        <v>0.12</v>
      </c>
      <c r="L15" s="158">
        <v>0.3</v>
      </c>
      <c r="M15" s="158">
        <v>0.6</v>
      </c>
      <c r="N15" s="156">
        <f t="shared" si="6"/>
        <v>1.44E-4</v>
      </c>
      <c r="O15" s="151">
        <f t="shared" si="7"/>
        <v>1.26</v>
      </c>
      <c r="P15" s="151">
        <f t="shared" si="8"/>
        <v>0.39365853658536587</v>
      </c>
      <c r="Q15" s="156">
        <f t="shared" si="9"/>
        <v>9.5842887804878062E-3</v>
      </c>
      <c r="R15" s="152">
        <f t="shared" si="10"/>
        <v>66.557560975609761</v>
      </c>
      <c r="S15" s="156">
        <f t="shared" si="11"/>
        <v>7.2000000000000002E-5</v>
      </c>
      <c r="T15" s="155">
        <f t="shared" si="12"/>
        <v>0.78</v>
      </c>
      <c r="U15" s="154">
        <f t="shared" si="13"/>
        <v>0.35818181818181816</v>
      </c>
      <c r="V15" s="156">
        <f t="shared" si="14"/>
        <v>7.9825745454545453E-3</v>
      </c>
      <c r="W15" s="152">
        <f t="shared" si="15"/>
        <v>110.8690909090909</v>
      </c>
      <c r="X15" s="158">
        <v>2</v>
      </c>
      <c r="Y15" s="158">
        <v>2</v>
      </c>
      <c r="Z15" s="151">
        <f t="shared" si="16"/>
        <v>88.713325942350338</v>
      </c>
      <c r="AA15" s="154">
        <f t="shared" si="17"/>
        <v>2.4444444444444446E-2</v>
      </c>
    </row>
    <row r="16" spans="1:29" ht="13.5" x14ac:dyDescent="0.25">
      <c r="A16" s="18">
        <v>8</v>
      </c>
      <c r="B16" s="89">
        <v>1</v>
      </c>
      <c r="C16" s="89">
        <v>1</v>
      </c>
      <c r="D16" s="20" t="str">
        <f t="shared" si="0"/>
        <v>2D</v>
      </c>
      <c r="E16" s="86" t="str">
        <f t="shared" si="1"/>
        <v>N.A.</v>
      </c>
      <c r="F16" s="20">
        <f t="shared" si="2"/>
        <v>1</v>
      </c>
      <c r="G16" s="22">
        <f t="shared" si="3"/>
        <v>1</v>
      </c>
      <c r="H16" s="20">
        <f t="shared" si="4"/>
        <v>2.4444444444444446E-2</v>
      </c>
      <c r="I16" s="19" t="s">
        <v>52</v>
      </c>
      <c r="J16" s="79">
        <f t="shared" si="5"/>
        <v>0.12</v>
      </c>
      <c r="L16" s="158">
        <v>0.3</v>
      </c>
      <c r="M16" s="158">
        <v>0.6</v>
      </c>
      <c r="N16" s="156">
        <f t="shared" si="6"/>
        <v>1.44E-4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66.557560975609761</v>
      </c>
      <c r="S16" s="156">
        <f t="shared" si="11"/>
        <v>7.2000000000000002E-5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110.8690909090909</v>
      </c>
      <c r="X16" s="158">
        <v>2</v>
      </c>
      <c r="Y16" s="158">
        <v>2</v>
      </c>
      <c r="Z16" s="151">
        <f t="shared" si="16"/>
        <v>88.713325942350338</v>
      </c>
      <c r="AA16" s="154">
        <f t="shared" si="17"/>
        <v>2.4444444444444446E-2</v>
      </c>
    </row>
    <row r="17" spans="1:27" ht="13.5" x14ac:dyDescent="0.25">
      <c r="A17" s="18">
        <v>9</v>
      </c>
      <c r="B17" s="89">
        <v>1</v>
      </c>
      <c r="C17" s="89">
        <v>1</v>
      </c>
      <c r="D17" s="20" t="str">
        <f t="shared" si="0"/>
        <v>2D</v>
      </c>
      <c r="E17" s="86" t="str">
        <f t="shared" si="1"/>
        <v>N.A.</v>
      </c>
      <c r="F17" s="20">
        <f t="shared" si="2"/>
        <v>1</v>
      </c>
      <c r="G17" s="22">
        <f t="shared" si="3"/>
        <v>1</v>
      </c>
      <c r="H17" s="20">
        <f t="shared" si="4"/>
        <v>2.4444444444444446E-2</v>
      </c>
      <c r="I17" s="19" t="s">
        <v>52</v>
      </c>
      <c r="J17" s="79">
        <f t="shared" si="5"/>
        <v>0.12</v>
      </c>
      <c r="L17" s="158">
        <v>0.3</v>
      </c>
      <c r="M17" s="158">
        <v>0.6</v>
      </c>
      <c r="N17" s="156">
        <f t="shared" si="6"/>
        <v>1.44E-4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66.557560975609761</v>
      </c>
      <c r="S17" s="156">
        <f t="shared" si="11"/>
        <v>7.2000000000000002E-5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110.8690909090909</v>
      </c>
      <c r="X17" s="158">
        <v>2</v>
      </c>
      <c r="Y17" s="158">
        <v>2</v>
      </c>
      <c r="Z17" s="151">
        <f t="shared" si="16"/>
        <v>88.713325942350338</v>
      </c>
      <c r="AA17" s="154">
        <f t="shared" si="17"/>
        <v>2.4444444444444446E-2</v>
      </c>
    </row>
    <row r="18" spans="1:27" ht="13.5" x14ac:dyDescent="0.25">
      <c r="A18" s="18">
        <v>10</v>
      </c>
      <c r="B18" s="89">
        <v>1</v>
      </c>
      <c r="C18" s="89">
        <v>1</v>
      </c>
      <c r="D18" s="20" t="str">
        <f t="shared" si="0"/>
        <v>2D</v>
      </c>
      <c r="E18" s="86" t="str">
        <f t="shared" si="1"/>
        <v>N.A.</v>
      </c>
      <c r="F18" s="20">
        <f t="shared" si="2"/>
        <v>1</v>
      </c>
      <c r="G18" s="22">
        <f t="shared" si="3"/>
        <v>1</v>
      </c>
      <c r="H18" s="20">
        <f t="shared" si="4"/>
        <v>2.4444444444444446E-2</v>
      </c>
      <c r="I18" s="19" t="s">
        <v>52</v>
      </c>
      <c r="J18" s="79">
        <f t="shared" si="5"/>
        <v>0.12</v>
      </c>
      <c r="L18" s="158">
        <v>0.3</v>
      </c>
      <c r="M18" s="158">
        <v>0.6</v>
      </c>
      <c r="N18" s="156">
        <f t="shared" si="6"/>
        <v>1.44E-4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66.557560975609761</v>
      </c>
      <c r="S18" s="156">
        <f t="shared" si="11"/>
        <v>7.2000000000000002E-5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110.8690909090909</v>
      </c>
      <c r="X18" s="158">
        <v>2</v>
      </c>
      <c r="Y18" s="158">
        <v>2</v>
      </c>
      <c r="Z18" s="151">
        <f t="shared" si="16"/>
        <v>88.713325942350338</v>
      </c>
      <c r="AA18" s="154">
        <f t="shared" si="17"/>
        <v>2.4444444444444446E-2</v>
      </c>
    </row>
    <row r="19" spans="1:27" ht="13.5" x14ac:dyDescent="0.25">
      <c r="A19" s="18">
        <v>11</v>
      </c>
      <c r="B19" s="89">
        <v>1</v>
      </c>
      <c r="C19" s="89">
        <v>1</v>
      </c>
      <c r="D19" s="20" t="str">
        <f t="shared" si="0"/>
        <v>2D</v>
      </c>
      <c r="E19" s="86" t="str">
        <f t="shared" si="1"/>
        <v>N.A.</v>
      </c>
      <c r="F19" s="20">
        <f t="shared" si="2"/>
        <v>1</v>
      </c>
      <c r="G19" s="22">
        <f t="shared" si="3"/>
        <v>1</v>
      </c>
      <c r="H19" s="20">
        <f t="shared" si="4"/>
        <v>2.4444444444444446E-2</v>
      </c>
      <c r="I19" s="19" t="s">
        <v>52</v>
      </c>
      <c r="J19" s="79">
        <f t="shared" si="5"/>
        <v>0.12</v>
      </c>
      <c r="L19" s="158">
        <v>0.3</v>
      </c>
      <c r="M19" s="158">
        <v>0.6</v>
      </c>
      <c r="N19" s="156">
        <f t="shared" si="6"/>
        <v>1.44E-4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66.557560975609761</v>
      </c>
      <c r="S19" s="156">
        <f t="shared" si="11"/>
        <v>7.2000000000000002E-5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110.8690909090909</v>
      </c>
      <c r="X19" s="158">
        <v>2</v>
      </c>
      <c r="Y19" s="158">
        <v>2</v>
      </c>
      <c r="Z19" s="151">
        <f t="shared" si="16"/>
        <v>88.713325942350338</v>
      </c>
      <c r="AA19" s="154">
        <f t="shared" si="17"/>
        <v>2.4444444444444446E-2</v>
      </c>
    </row>
    <row r="20" spans="1:27" ht="13.5" x14ac:dyDescent="0.25">
      <c r="A20" s="18">
        <v>12</v>
      </c>
      <c r="B20" s="89">
        <v>1</v>
      </c>
      <c r="C20" s="89">
        <v>1</v>
      </c>
      <c r="D20" s="20" t="str">
        <f t="shared" si="0"/>
        <v>2D</v>
      </c>
      <c r="E20" s="86" t="str">
        <f t="shared" si="1"/>
        <v>N.A.</v>
      </c>
      <c r="F20" s="20">
        <f t="shared" si="2"/>
        <v>1</v>
      </c>
      <c r="G20" s="22">
        <f t="shared" si="3"/>
        <v>1</v>
      </c>
      <c r="H20" s="20">
        <f t="shared" si="4"/>
        <v>2.4444444444444446E-2</v>
      </c>
      <c r="I20" s="19" t="s">
        <v>52</v>
      </c>
      <c r="J20" s="79">
        <f t="shared" si="5"/>
        <v>0.12</v>
      </c>
      <c r="L20" s="158">
        <v>0.3</v>
      </c>
      <c r="M20" s="158">
        <v>0.6</v>
      </c>
      <c r="N20" s="156">
        <f t="shared" si="6"/>
        <v>1.44E-4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66.557560975609761</v>
      </c>
      <c r="S20" s="156">
        <f t="shared" si="11"/>
        <v>7.2000000000000002E-5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110.8690909090909</v>
      </c>
      <c r="X20" s="158">
        <v>2</v>
      </c>
      <c r="Y20" s="158">
        <v>2</v>
      </c>
      <c r="Z20" s="151">
        <f t="shared" si="16"/>
        <v>88.713325942350338</v>
      </c>
      <c r="AA20" s="154">
        <f t="shared" si="17"/>
        <v>2.4444444444444446E-2</v>
      </c>
    </row>
    <row r="21" spans="1:27" ht="13.5" x14ac:dyDescent="0.25">
      <c r="A21" s="18">
        <v>13</v>
      </c>
      <c r="B21" s="89">
        <v>1</v>
      </c>
      <c r="C21" s="89">
        <v>1</v>
      </c>
      <c r="D21" s="20" t="str">
        <f t="shared" si="0"/>
        <v>2D</v>
      </c>
      <c r="E21" s="86" t="str">
        <f t="shared" si="1"/>
        <v>N.A.</v>
      </c>
      <c r="F21" s="20">
        <f t="shared" si="2"/>
        <v>1</v>
      </c>
      <c r="G21" s="22">
        <f t="shared" si="3"/>
        <v>1</v>
      </c>
      <c r="H21" s="20">
        <f t="shared" si="4"/>
        <v>2.4444444444444446E-2</v>
      </c>
      <c r="I21" s="19" t="s">
        <v>52</v>
      </c>
      <c r="J21" s="79">
        <f t="shared" si="5"/>
        <v>0.12</v>
      </c>
      <c r="L21" s="158">
        <v>0.3</v>
      </c>
      <c r="M21" s="158">
        <v>0.6</v>
      </c>
      <c r="N21" s="156">
        <f t="shared" si="6"/>
        <v>1.44E-4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66.557560975609761</v>
      </c>
      <c r="S21" s="156">
        <f t="shared" si="11"/>
        <v>7.2000000000000002E-5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110.8690909090909</v>
      </c>
      <c r="X21" s="158">
        <v>2</v>
      </c>
      <c r="Y21" s="158">
        <v>2</v>
      </c>
      <c r="Z21" s="151">
        <f t="shared" si="16"/>
        <v>88.713325942350338</v>
      </c>
      <c r="AA21" s="154">
        <f t="shared" si="17"/>
        <v>2.4444444444444446E-2</v>
      </c>
    </row>
    <row r="22" spans="1:27" ht="13.5" x14ac:dyDescent="0.25">
      <c r="A22" s="18">
        <v>14</v>
      </c>
      <c r="B22" s="89">
        <v>1</v>
      </c>
      <c r="C22" s="89">
        <v>1</v>
      </c>
      <c r="D22" s="20" t="str">
        <f t="shared" si="0"/>
        <v>2D</v>
      </c>
      <c r="E22" s="86" t="str">
        <f t="shared" si="1"/>
        <v>N.A.</v>
      </c>
      <c r="F22" s="20">
        <f t="shared" si="2"/>
        <v>1</v>
      </c>
      <c r="G22" s="22">
        <f t="shared" si="3"/>
        <v>1</v>
      </c>
      <c r="H22" s="20">
        <f t="shared" si="4"/>
        <v>2.4444444444444446E-2</v>
      </c>
      <c r="I22" s="19" t="s">
        <v>52</v>
      </c>
      <c r="J22" s="79">
        <f t="shared" si="5"/>
        <v>0.12</v>
      </c>
      <c r="L22" s="158">
        <v>0.3</v>
      </c>
      <c r="M22" s="158">
        <v>0.6</v>
      </c>
      <c r="N22" s="156">
        <f t="shared" si="6"/>
        <v>1.44E-4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66.557560975609761</v>
      </c>
      <c r="S22" s="156">
        <f t="shared" si="11"/>
        <v>7.2000000000000002E-5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110.8690909090909</v>
      </c>
      <c r="X22" s="158">
        <v>2</v>
      </c>
      <c r="Y22" s="158">
        <v>2</v>
      </c>
      <c r="Z22" s="151">
        <f t="shared" si="16"/>
        <v>88.713325942350338</v>
      </c>
      <c r="AA22" s="154">
        <f t="shared" si="17"/>
        <v>2.4444444444444446E-2</v>
      </c>
    </row>
    <row r="23" spans="1:27" ht="13.5" x14ac:dyDescent="0.25">
      <c r="A23" s="18">
        <v>15</v>
      </c>
      <c r="B23" s="89">
        <v>1</v>
      </c>
      <c r="C23" s="89">
        <v>1</v>
      </c>
      <c r="D23" s="20" t="str">
        <f t="shared" si="0"/>
        <v>2D</v>
      </c>
      <c r="E23" s="86" t="str">
        <f t="shared" si="1"/>
        <v>N.A.</v>
      </c>
      <c r="F23" s="20">
        <f t="shared" si="2"/>
        <v>1</v>
      </c>
      <c r="G23" s="22">
        <f t="shared" si="3"/>
        <v>1</v>
      </c>
      <c r="H23" s="20">
        <f t="shared" si="4"/>
        <v>2.4444444444444446E-2</v>
      </c>
      <c r="I23" s="19" t="s">
        <v>52</v>
      </c>
      <c r="J23" s="79">
        <f t="shared" si="5"/>
        <v>0.12</v>
      </c>
      <c r="L23" s="158">
        <v>0.3</v>
      </c>
      <c r="M23" s="158">
        <v>0.6</v>
      </c>
      <c r="N23" s="156">
        <f t="shared" si="6"/>
        <v>1.44E-4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66.557560975609761</v>
      </c>
      <c r="S23" s="156">
        <f t="shared" si="11"/>
        <v>7.2000000000000002E-5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110.8690909090909</v>
      </c>
      <c r="X23" s="158">
        <v>2</v>
      </c>
      <c r="Y23" s="158">
        <v>2</v>
      </c>
      <c r="Z23" s="151">
        <f t="shared" si="16"/>
        <v>88.713325942350338</v>
      </c>
      <c r="AA23" s="154">
        <f t="shared" si="17"/>
        <v>2.4444444444444446E-2</v>
      </c>
    </row>
    <row r="24" spans="1:27" ht="13.5" x14ac:dyDescent="0.25">
      <c r="A24" s="18">
        <v>16</v>
      </c>
      <c r="B24" s="89">
        <v>1</v>
      </c>
      <c r="C24" s="89">
        <v>1</v>
      </c>
      <c r="D24" s="20" t="str">
        <f t="shared" si="0"/>
        <v>2D</v>
      </c>
      <c r="E24" s="86" t="str">
        <f t="shared" si="1"/>
        <v>N.A.</v>
      </c>
      <c r="F24" s="20">
        <f t="shared" si="2"/>
        <v>1</v>
      </c>
      <c r="G24" s="22">
        <f t="shared" si="3"/>
        <v>1</v>
      </c>
      <c r="H24" s="20">
        <f t="shared" si="4"/>
        <v>2.4444444444444446E-2</v>
      </c>
      <c r="I24" s="19" t="s">
        <v>52</v>
      </c>
      <c r="J24" s="79">
        <f t="shared" si="5"/>
        <v>0.12</v>
      </c>
      <c r="L24" s="158">
        <v>0.3</v>
      </c>
      <c r="M24" s="158">
        <v>0.6</v>
      </c>
      <c r="N24" s="156">
        <f t="shared" si="6"/>
        <v>1.44E-4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66.557560975609761</v>
      </c>
      <c r="S24" s="156">
        <f t="shared" si="11"/>
        <v>7.2000000000000002E-5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110.8690909090909</v>
      </c>
      <c r="X24" s="158">
        <v>2</v>
      </c>
      <c r="Y24" s="158">
        <v>2</v>
      </c>
      <c r="Z24" s="151">
        <f t="shared" si="16"/>
        <v>88.713325942350338</v>
      </c>
      <c r="AA24" s="154">
        <f t="shared" si="17"/>
        <v>2.4444444444444446E-2</v>
      </c>
    </row>
    <row r="25" spans="1:27" ht="13.5" x14ac:dyDescent="0.25">
      <c r="A25" s="18">
        <v>17</v>
      </c>
      <c r="B25" s="89">
        <v>1</v>
      </c>
      <c r="C25" s="89">
        <v>1</v>
      </c>
      <c r="D25" s="20" t="str">
        <f t="shared" si="0"/>
        <v>2D</v>
      </c>
      <c r="E25" s="86" t="str">
        <f t="shared" si="1"/>
        <v>N.A.</v>
      </c>
      <c r="F25" s="20">
        <f t="shared" si="2"/>
        <v>1</v>
      </c>
      <c r="G25" s="22">
        <f t="shared" si="3"/>
        <v>1</v>
      </c>
      <c r="H25" s="20">
        <f t="shared" si="4"/>
        <v>2.4444444444444446E-2</v>
      </c>
      <c r="I25" s="19" t="s">
        <v>52</v>
      </c>
      <c r="J25" s="79">
        <f t="shared" si="5"/>
        <v>0.12</v>
      </c>
      <c r="L25" s="158">
        <v>0.3</v>
      </c>
      <c r="M25" s="158">
        <v>0.6</v>
      </c>
      <c r="N25" s="156">
        <f t="shared" si="6"/>
        <v>1.44E-4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66.557560975609761</v>
      </c>
      <c r="S25" s="156">
        <f t="shared" si="11"/>
        <v>7.2000000000000002E-5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110.8690909090909</v>
      </c>
      <c r="X25" s="158">
        <v>2</v>
      </c>
      <c r="Y25" s="158">
        <v>2</v>
      </c>
      <c r="Z25" s="151">
        <f t="shared" si="16"/>
        <v>88.713325942350338</v>
      </c>
      <c r="AA25" s="154">
        <f t="shared" si="17"/>
        <v>2.4444444444444446E-2</v>
      </c>
    </row>
    <row r="26" spans="1:27" ht="13.5" x14ac:dyDescent="0.25">
      <c r="A26" s="18">
        <v>18</v>
      </c>
      <c r="B26" s="89">
        <v>1</v>
      </c>
      <c r="C26" s="89">
        <v>1</v>
      </c>
      <c r="D26" s="20" t="str">
        <f t="shared" si="0"/>
        <v>2D</v>
      </c>
      <c r="E26" s="86" t="str">
        <f t="shared" si="1"/>
        <v>N.A.</v>
      </c>
      <c r="F26" s="20">
        <f t="shared" si="2"/>
        <v>1</v>
      </c>
      <c r="G26" s="22">
        <f t="shared" si="3"/>
        <v>1</v>
      </c>
      <c r="H26" s="20">
        <f t="shared" si="4"/>
        <v>2.4444444444444446E-2</v>
      </c>
      <c r="I26" s="19" t="s">
        <v>52</v>
      </c>
      <c r="J26" s="79">
        <f t="shared" si="5"/>
        <v>0.12</v>
      </c>
      <c r="L26" s="158">
        <v>0.3</v>
      </c>
      <c r="M26" s="158">
        <v>0.6</v>
      </c>
      <c r="N26" s="156">
        <f t="shared" si="6"/>
        <v>1.44E-4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66.557560975609761</v>
      </c>
      <c r="S26" s="156">
        <f t="shared" si="11"/>
        <v>7.2000000000000002E-5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110.8690909090909</v>
      </c>
      <c r="X26" s="158">
        <v>2</v>
      </c>
      <c r="Y26" s="158">
        <v>2</v>
      </c>
      <c r="Z26" s="151">
        <f t="shared" si="16"/>
        <v>88.713325942350338</v>
      </c>
      <c r="AA26" s="154">
        <f t="shared" si="17"/>
        <v>2.4444444444444446E-2</v>
      </c>
    </row>
    <row r="27" spans="1:27" ht="13.5" x14ac:dyDescent="0.25">
      <c r="A27" s="18">
        <v>19</v>
      </c>
      <c r="B27" s="89">
        <v>1</v>
      </c>
      <c r="C27" s="89">
        <v>1</v>
      </c>
      <c r="D27" s="20" t="str">
        <f t="shared" si="0"/>
        <v>2D</v>
      </c>
      <c r="E27" s="86" t="str">
        <f t="shared" si="1"/>
        <v>N.A.</v>
      </c>
      <c r="F27" s="20">
        <f t="shared" si="2"/>
        <v>1</v>
      </c>
      <c r="G27" s="22">
        <f t="shared" si="3"/>
        <v>1</v>
      </c>
      <c r="H27" s="20">
        <f t="shared" si="4"/>
        <v>2.4444444444444446E-2</v>
      </c>
      <c r="I27" s="19" t="s">
        <v>52</v>
      </c>
      <c r="J27" s="79">
        <f t="shared" si="5"/>
        <v>0.12</v>
      </c>
      <c r="L27" s="158">
        <v>0.3</v>
      </c>
      <c r="M27" s="158">
        <v>0.6</v>
      </c>
      <c r="N27" s="156">
        <f t="shared" si="6"/>
        <v>1.44E-4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66.557560975609761</v>
      </c>
      <c r="S27" s="156">
        <f t="shared" si="11"/>
        <v>7.2000000000000002E-5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110.8690909090909</v>
      </c>
      <c r="X27" s="158">
        <v>2</v>
      </c>
      <c r="Y27" s="158">
        <v>2</v>
      </c>
      <c r="Z27" s="151">
        <f t="shared" si="16"/>
        <v>88.713325942350338</v>
      </c>
      <c r="AA27" s="154">
        <f t="shared" si="17"/>
        <v>2.4444444444444446E-2</v>
      </c>
    </row>
    <row r="28" spans="1:27" ht="13.5" x14ac:dyDescent="0.25">
      <c r="A28" s="18">
        <v>20</v>
      </c>
      <c r="B28" s="89">
        <v>1</v>
      </c>
      <c r="C28" s="89">
        <v>1</v>
      </c>
      <c r="D28" s="20" t="str">
        <f t="shared" si="0"/>
        <v>2D</v>
      </c>
      <c r="E28" s="86" t="str">
        <f t="shared" si="1"/>
        <v>N.A.</v>
      </c>
      <c r="F28" s="20">
        <f t="shared" si="2"/>
        <v>1</v>
      </c>
      <c r="G28" s="22">
        <f t="shared" si="3"/>
        <v>1</v>
      </c>
      <c r="H28" s="20">
        <f t="shared" si="4"/>
        <v>2.4444444444444446E-2</v>
      </c>
      <c r="I28" s="19" t="s">
        <v>52</v>
      </c>
      <c r="J28" s="79">
        <f t="shared" si="5"/>
        <v>0.12</v>
      </c>
      <c r="L28" s="158">
        <v>0.3</v>
      </c>
      <c r="M28" s="158">
        <v>0.6</v>
      </c>
      <c r="N28" s="156">
        <f t="shared" si="6"/>
        <v>1.44E-4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66.557560975609761</v>
      </c>
      <c r="S28" s="156">
        <f t="shared" si="11"/>
        <v>7.2000000000000002E-5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110.8690909090909</v>
      </c>
      <c r="X28" s="158">
        <v>2</v>
      </c>
      <c r="Y28" s="158">
        <v>2</v>
      </c>
      <c r="Z28" s="151">
        <f t="shared" si="16"/>
        <v>88.713325942350338</v>
      </c>
      <c r="AA28" s="154">
        <f t="shared" si="17"/>
        <v>2.4444444444444446E-2</v>
      </c>
    </row>
    <row r="29" spans="1:27" ht="13.5" x14ac:dyDescent="0.25">
      <c r="A29" s="18">
        <v>21</v>
      </c>
      <c r="B29" s="89">
        <v>1</v>
      </c>
      <c r="C29" s="89">
        <v>1</v>
      </c>
      <c r="D29" s="20" t="str">
        <f t="shared" si="0"/>
        <v>2D</v>
      </c>
      <c r="E29" s="86" t="str">
        <f t="shared" si="1"/>
        <v>N.A.</v>
      </c>
      <c r="F29" s="20">
        <f t="shared" si="2"/>
        <v>1</v>
      </c>
      <c r="G29" s="22">
        <f t="shared" si="3"/>
        <v>1</v>
      </c>
      <c r="H29" s="20">
        <f t="shared" si="4"/>
        <v>2.4444444444444446E-2</v>
      </c>
      <c r="I29" s="19" t="s">
        <v>52</v>
      </c>
      <c r="J29" s="79">
        <f t="shared" si="5"/>
        <v>0.12</v>
      </c>
      <c r="L29" s="158">
        <v>0.3</v>
      </c>
      <c r="M29" s="158">
        <v>0.6</v>
      </c>
      <c r="N29" s="156">
        <f t="shared" si="6"/>
        <v>1.44E-4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66.557560975609761</v>
      </c>
      <c r="S29" s="156">
        <f t="shared" si="11"/>
        <v>7.2000000000000002E-5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110.8690909090909</v>
      </c>
      <c r="X29" s="158">
        <v>2</v>
      </c>
      <c r="Y29" s="158">
        <v>2</v>
      </c>
      <c r="Z29" s="151">
        <f t="shared" si="16"/>
        <v>88.713325942350338</v>
      </c>
      <c r="AA29" s="154">
        <f t="shared" si="17"/>
        <v>2.4444444444444446E-2</v>
      </c>
    </row>
    <row r="30" spans="1:27" ht="13.5" x14ac:dyDescent="0.25">
      <c r="A30" s="18">
        <v>22</v>
      </c>
      <c r="B30" s="89">
        <v>1</v>
      </c>
      <c r="C30" s="89">
        <v>1</v>
      </c>
      <c r="D30" s="20" t="str">
        <f t="shared" si="0"/>
        <v>2D</v>
      </c>
      <c r="E30" s="86" t="str">
        <f t="shared" si="1"/>
        <v>N.A.</v>
      </c>
      <c r="F30" s="20">
        <f t="shared" si="2"/>
        <v>1</v>
      </c>
      <c r="G30" s="22">
        <f t="shared" si="3"/>
        <v>1</v>
      </c>
      <c r="H30" s="20">
        <f t="shared" si="4"/>
        <v>2.4444444444444446E-2</v>
      </c>
      <c r="I30" s="19" t="s">
        <v>52</v>
      </c>
      <c r="J30" s="79">
        <f t="shared" si="5"/>
        <v>0.12</v>
      </c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ht="13.5" x14ac:dyDescent="0.25">
      <c r="A31" s="18">
        <v>23</v>
      </c>
      <c r="B31" s="89">
        <v>1</v>
      </c>
      <c r="C31" s="89">
        <v>1</v>
      </c>
      <c r="D31" s="20" t="str">
        <f t="shared" si="0"/>
        <v>2D</v>
      </c>
      <c r="E31" s="86" t="str">
        <f t="shared" si="1"/>
        <v>N.A.</v>
      </c>
      <c r="F31" s="20">
        <f t="shared" si="2"/>
        <v>1</v>
      </c>
      <c r="G31" s="22">
        <f t="shared" si="3"/>
        <v>1</v>
      </c>
      <c r="H31" s="20">
        <f t="shared" si="4"/>
        <v>2.4444444444444446E-2</v>
      </c>
      <c r="I31" s="19" t="s">
        <v>52</v>
      </c>
      <c r="J31" s="79">
        <f t="shared" si="5"/>
        <v>0.12</v>
      </c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ht="13.5" x14ac:dyDescent="0.25">
      <c r="A32" s="18">
        <v>24</v>
      </c>
      <c r="B32" s="89">
        <v>1</v>
      </c>
      <c r="C32" s="89">
        <v>1</v>
      </c>
      <c r="D32" s="20" t="str">
        <f t="shared" si="0"/>
        <v>2D</v>
      </c>
      <c r="E32" s="86" t="str">
        <f t="shared" si="1"/>
        <v>N.A.</v>
      </c>
      <c r="F32" s="20">
        <f t="shared" si="2"/>
        <v>1</v>
      </c>
      <c r="G32" s="22">
        <f t="shared" si="3"/>
        <v>1</v>
      </c>
      <c r="H32" s="20">
        <f t="shared" si="4"/>
        <v>2.4444444444444446E-2</v>
      </c>
      <c r="I32" s="19" t="s">
        <v>52</v>
      </c>
      <c r="J32" s="79">
        <f t="shared" si="5"/>
        <v>0.12</v>
      </c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ht="13.5" x14ac:dyDescent="0.25">
      <c r="A33" s="18">
        <v>25</v>
      </c>
      <c r="B33" s="89">
        <v>1</v>
      </c>
      <c r="C33" s="89">
        <v>1</v>
      </c>
      <c r="D33" s="20" t="str">
        <f t="shared" si="0"/>
        <v>2D</v>
      </c>
      <c r="E33" s="86" t="str">
        <f t="shared" si="1"/>
        <v>N.A.</v>
      </c>
      <c r="F33" s="20">
        <f t="shared" si="2"/>
        <v>1</v>
      </c>
      <c r="G33" s="22">
        <f t="shared" si="3"/>
        <v>1</v>
      </c>
      <c r="H33" s="20">
        <f t="shared" si="4"/>
        <v>2.4444444444444446E-2</v>
      </c>
      <c r="I33" s="19" t="s">
        <v>52</v>
      </c>
      <c r="J33" s="79">
        <f t="shared" si="5"/>
        <v>0.12</v>
      </c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ht="13.5" x14ac:dyDescent="0.25">
      <c r="A34" s="18">
        <v>26</v>
      </c>
      <c r="B34" s="89">
        <v>1</v>
      </c>
      <c r="C34" s="89">
        <v>1</v>
      </c>
      <c r="D34" s="20" t="str">
        <f t="shared" si="0"/>
        <v>2D</v>
      </c>
      <c r="E34" s="86" t="str">
        <f t="shared" si="1"/>
        <v>N.A.</v>
      </c>
      <c r="F34" s="20">
        <f t="shared" si="2"/>
        <v>1</v>
      </c>
      <c r="G34" s="22">
        <f t="shared" si="3"/>
        <v>1</v>
      </c>
      <c r="H34" s="20">
        <f t="shared" si="4"/>
        <v>2.4444444444444446E-2</v>
      </c>
      <c r="I34" s="19" t="s">
        <v>52</v>
      </c>
      <c r="J34" s="79">
        <f t="shared" si="5"/>
        <v>0.12</v>
      </c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ht="13.5" x14ac:dyDescent="0.25">
      <c r="A35" s="18">
        <v>27</v>
      </c>
      <c r="B35" s="89">
        <v>1</v>
      </c>
      <c r="C35" s="89">
        <v>1</v>
      </c>
      <c r="D35" s="20" t="str">
        <f t="shared" si="0"/>
        <v>2D</v>
      </c>
      <c r="E35" s="86" t="str">
        <f t="shared" si="1"/>
        <v>N.A.</v>
      </c>
      <c r="F35" s="20">
        <f t="shared" si="2"/>
        <v>1</v>
      </c>
      <c r="G35" s="22">
        <f t="shared" si="3"/>
        <v>1</v>
      </c>
      <c r="H35" s="20">
        <f t="shared" si="4"/>
        <v>2.4444444444444446E-2</v>
      </c>
      <c r="I35" s="19" t="s">
        <v>52</v>
      </c>
      <c r="J35" s="79">
        <f t="shared" si="5"/>
        <v>0.12</v>
      </c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ht="13.5" x14ac:dyDescent="0.25">
      <c r="A36" s="18">
        <v>28</v>
      </c>
      <c r="B36" s="89">
        <v>1</v>
      </c>
      <c r="C36" s="89">
        <v>1</v>
      </c>
      <c r="D36" s="20" t="str">
        <f t="shared" si="0"/>
        <v>2D</v>
      </c>
      <c r="E36" s="86" t="str">
        <f t="shared" si="1"/>
        <v>N.A.</v>
      </c>
      <c r="F36" s="20">
        <f t="shared" si="2"/>
        <v>1</v>
      </c>
      <c r="G36" s="22">
        <f t="shared" si="3"/>
        <v>1</v>
      </c>
      <c r="H36" s="20">
        <f t="shared" si="4"/>
        <v>2.4444444444444446E-2</v>
      </c>
      <c r="I36" s="19" t="s">
        <v>52</v>
      </c>
      <c r="J36" s="79">
        <f t="shared" si="5"/>
        <v>0.12</v>
      </c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ht="13.5" x14ac:dyDescent="0.25">
      <c r="A37" s="18">
        <v>29</v>
      </c>
      <c r="B37" s="89">
        <v>1</v>
      </c>
      <c r="C37" s="89">
        <v>1</v>
      </c>
      <c r="D37" s="20" t="str">
        <f t="shared" si="0"/>
        <v>2D</v>
      </c>
      <c r="E37" s="86" t="str">
        <f t="shared" si="1"/>
        <v>N.A.</v>
      </c>
      <c r="F37" s="20">
        <f t="shared" si="2"/>
        <v>1</v>
      </c>
      <c r="G37" s="22">
        <f t="shared" si="3"/>
        <v>1</v>
      </c>
      <c r="H37" s="20">
        <f t="shared" si="4"/>
        <v>2.4444444444444446E-2</v>
      </c>
      <c r="I37" s="19" t="s">
        <v>52</v>
      </c>
      <c r="J37" s="79">
        <f t="shared" si="5"/>
        <v>0.12</v>
      </c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ht="13.5" x14ac:dyDescent="0.25">
      <c r="A38" s="18">
        <v>30</v>
      </c>
      <c r="B38" s="89">
        <v>1</v>
      </c>
      <c r="C38" s="89">
        <v>1</v>
      </c>
      <c r="D38" s="20" t="str">
        <f t="shared" si="0"/>
        <v>2D</v>
      </c>
      <c r="E38" s="86" t="str">
        <f t="shared" si="1"/>
        <v>N.A.</v>
      </c>
      <c r="F38" s="20">
        <f t="shared" si="2"/>
        <v>1</v>
      </c>
      <c r="G38" s="22">
        <f t="shared" si="3"/>
        <v>1</v>
      </c>
      <c r="H38" s="20">
        <f t="shared" si="4"/>
        <v>2.4444444444444446E-2</v>
      </c>
      <c r="I38" s="19" t="s">
        <v>52</v>
      </c>
      <c r="J38" s="79">
        <f t="shared" si="5"/>
        <v>0.12</v>
      </c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ht="13.5" x14ac:dyDescent="0.25">
      <c r="A39" s="18">
        <v>31</v>
      </c>
      <c r="B39" s="89">
        <v>1</v>
      </c>
      <c r="C39" s="89">
        <v>1</v>
      </c>
      <c r="D39" s="20" t="str">
        <f t="shared" si="0"/>
        <v>2D</v>
      </c>
      <c r="E39" s="86" t="str">
        <f t="shared" si="1"/>
        <v>N.A.</v>
      </c>
      <c r="F39" s="20">
        <f t="shared" si="2"/>
        <v>1</v>
      </c>
      <c r="G39" s="22">
        <f t="shared" si="3"/>
        <v>1</v>
      </c>
      <c r="H39" s="20">
        <f t="shared" si="4"/>
        <v>2.4444444444444446E-2</v>
      </c>
      <c r="I39" s="19" t="s">
        <v>52</v>
      </c>
      <c r="J39" s="79">
        <f t="shared" si="5"/>
        <v>0.12</v>
      </c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ht="13.5" x14ac:dyDescent="0.25">
      <c r="A40" s="18">
        <v>32</v>
      </c>
      <c r="B40" s="89">
        <v>1</v>
      </c>
      <c r="C40" s="89">
        <v>1</v>
      </c>
      <c r="D40" s="20" t="str">
        <f t="shared" si="0"/>
        <v>2D</v>
      </c>
      <c r="E40" s="86" t="str">
        <f t="shared" si="1"/>
        <v>N.A.</v>
      </c>
      <c r="F40" s="20">
        <f t="shared" si="2"/>
        <v>1</v>
      </c>
      <c r="G40" s="22">
        <f t="shared" si="3"/>
        <v>1</v>
      </c>
      <c r="H40" s="20">
        <f t="shared" si="4"/>
        <v>2.4444444444444446E-2</v>
      </c>
      <c r="I40" s="19" t="s">
        <v>52</v>
      </c>
      <c r="J40" s="79">
        <f t="shared" si="5"/>
        <v>0.12</v>
      </c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ht="13.5" x14ac:dyDescent="0.25">
      <c r="A41" s="18">
        <v>33</v>
      </c>
      <c r="B41" s="89">
        <v>1</v>
      </c>
      <c r="C41" s="89">
        <v>1</v>
      </c>
      <c r="D41" s="20" t="str">
        <f t="shared" si="0"/>
        <v>2D</v>
      </c>
      <c r="E41" s="86" t="str">
        <f t="shared" si="1"/>
        <v>N.A.</v>
      </c>
      <c r="F41" s="20">
        <f t="shared" si="2"/>
        <v>1</v>
      </c>
      <c r="G41" s="22">
        <f t="shared" si="3"/>
        <v>1</v>
      </c>
      <c r="H41" s="20">
        <f t="shared" si="4"/>
        <v>2.4444444444444446E-2</v>
      </c>
      <c r="I41" s="19" t="s">
        <v>52</v>
      </c>
      <c r="J41" s="79">
        <f t="shared" si="5"/>
        <v>0.12</v>
      </c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ht="13.5" x14ac:dyDescent="0.25">
      <c r="A42" s="18">
        <v>34</v>
      </c>
      <c r="B42" s="89">
        <v>1</v>
      </c>
      <c r="C42" s="89">
        <v>1</v>
      </c>
      <c r="D42" s="20" t="str">
        <f t="shared" si="0"/>
        <v>2D</v>
      </c>
      <c r="E42" s="86" t="str">
        <f t="shared" si="1"/>
        <v>N.A.</v>
      </c>
      <c r="F42" s="20">
        <f t="shared" si="2"/>
        <v>1</v>
      </c>
      <c r="G42" s="22">
        <f t="shared" si="3"/>
        <v>1</v>
      </c>
      <c r="H42" s="20">
        <f t="shared" si="4"/>
        <v>2.4444444444444446E-2</v>
      </c>
      <c r="I42" s="19" t="s">
        <v>52</v>
      </c>
      <c r="J42" s="79">
        <f t="shared" si="5"/>
        <v>0.12</v>
      </c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ht="13.5" x14ac:dyDescent="0.25">
      <c r="A43" s="18">
        <v>35</v>
      </c>
      <c r="B43" s="89">
        <v>1</v>
      </c>
      <c r="C43" s="89">
        <v>1</v>
      </c>
      <c r="D43" s="20" t="str">
        <f t="shared" si="0"/>
        <v>2D</v>
      </c>
      <c r="E43" s="86" t="str">
        <f t="shared" si="1"/>
        <v>N.A.</v>
      </c>
      <c r="F43" s="20">
        <f t="shared" si="2"/>
        <v>1</v>
      </c>
      <c r="G43" s="22">
        <f t="shared" si="3"/>
        <v>1</v>
      </c>
      <c r="H43" s="20">
        <f t="shared" si="4"/>
        <v>2.4444444444444446E-2</v>
      </c>
      <c r="I43" s="19" t="s">
        <v>52</v>
      </c>
      <c r="J43" s="79">
        <f t="shared" si="5"/>
        <v>0.12</v>
      </c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ht="13.5" x14ac:dyDescent="0.25">
      <c r="A44" s="18">
        <v>36</v>
      </c>
      <c r="B44" s="89">
        <v>1</v>
      </c>
      <c r="C44" s="89">
        <v>1</v>
      </c>
      <c r="D44" s="20" t="str">
        <f t="shared" si="0"/>
        <v>2D</v>
      </c>
      <c r="E44" s="86" t="str">
        <f t="shared" si="1"/>
        <v>N.A.</v>
      </c>
      <c r="F44" s="20">
        <f t="shared" si="2"/>
        <v>1</v>
      </c>
      <c r="G44" s="22">
        <f t="shared" si="3"/>
        <v>1</v>
      </c>
      <c r="H44" s="20">
        <f t="shared" si="4"/>
        <v>2.4444444444444446E-2</v>
      </c>
      <c r="I44" s="19" t="s">
        <v>52</v>
      </c>
      <c r="J44" s="79">
        <f t="shared" si="5"/>
        <v>0.12</v>
      </c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ht="13.5" x14ac:dyDescent="0.25">
      <c r="A45" s="18">
        <v>37</v>
      </c>
      <c r="B45" s="89">
        <v>1</v>
      </c>
      <c r="C45" s="89">
        <v>1</v>
      </c>
      <c r="D45" s="20" t="str">
        <f t="shared" si="0"/>
        <v>2D</v>
      </c>
      <c r="E45" s="86" t="str">
        <f t="shared" si="1"/>
        <v>N.A.</v>
      </c>
      <c r="F45" s="20">
        <f t="shared" si="2"/>
        <v>1</v>
      </c>
      <c r="G45" s="22">
        <f t="shared" si="3"/>
        <v>1</v>
      </c>
      <c r="H45" s="20">
        <f t="shared" si="4"/>
        <v>2.4444444444444446E-2</v>
      </c>
      <c r="I45" s="19" t="s">
        <v>52</v>
      </c>
      <c r="J45" s="79">
        <f t="shared" si="5"/>
        <v>0.12</v>
      </c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ht="13.5" x14ac:dyDescent="0.25">
      <c r="A46" s="18">
        <v>38</v>
      </c>
      <c r="B46" s="89">
        <v>1</v>
      </c>
      <c r="C46" s="89">
        <v>1</v>
      </c>
      <c r="D46" s="20" t="str">
        <f t="shared" si="0"/>
        <v>2D</v>
      </c>
      <c r="E46" s="86" t="str">
        <f t="shared" si="1"/>
        <v>N.A.</v>
      </c>
      <c r="F46" s="20">
        <f t="shared" si="2"/>
        <v>1</v>
      </c>
      <c r="G46" s="22">
        <f t="shared" si="3"/>
        <v>1</v>
      </c>
      <c r="H46" s="20">
        <f t="shared" si="4"/>
        <v>2.4444444444444446E-2</v>
      </c>
      <c r="I46" s="19" t="s">
        <v>52</v>
      </c>
      <c r="J46" s="79">
        <f t="shared" si="5"/>
        <v>0.12</v>
      </c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ht="13.5" x14ac:dyDescent="0.25">
      <c r="A47" s="18">
        <v>39</v>
      </c>
      <c r="B47" s="89">
        <v>1</v>
      </c>
      <c r="C47" s="89">
        <v>1</v>
      </c>
      <c r="D47" s="20" t="str">
        <f t="shared" si="0"/>
        <v>2D</v>
      </c>
      <c r="E47" s="86" t="str">
        <f t="shared" si="1"/>
        <v>N.A.</v>
      </c>
      <c r="F47" s="20">
        <f t="shared" si="2"/>
        <v>1</v>
      </c>
      <c r="G47" s="22">
        <f t="shared" si="3"/>
        <v>1</v>
      </c>
      <c r="H47" s="20">
        <f t="shared" si="4"/>
        <v>2.4444444444444446E-2</v>
      </c>
      <c r="I47" s="19" t="s">
        <v>52</v>
      </c>
      <c r="J47" s="79">
        <f t="shared" si="5"/>
        <v>0.12</v>
      </c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ht="13.5" x14ac:dyDescent="0.25">
      <c r="A48" s="18">
        <v>40</v>
      </c>
      <c r="B48" s="89">
        <v>1</v>
      </c>
      <c r="C48" s="89">
        <v>1</v>
      </c>
      <c r="D48" s="20" t="str">
        <f t="shared" si="0"/>
        <v>2D</v>
      </c>
      <c r="E48" s="86" t="str">
        <f t="shared" si="1"/>
        <v>N.A.</v>
      </c>
      <c r="F48" s="20">
        <f t="shared" si="2"/>
        <v>1</v>
      </c>
      <c r="G48" s="22">
        <f t="shared" si="3"/>
        <v>1</v>
      </c>
      <c r="H48" s="20">
        <f t="shared" si="4"/>
        <v>2.4444444444444446E-2</v>
      </c>
      <c r="I48" s="19" t="s">
        <v>52</v>
      </c>
      <c r="J48" s="79">
        <f t="shared" si="5"/>
        <v>0.12</v>
      </c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ht="13.5" x14ac:dyDescent="0.25">
      <c r="A49" s="18">
        <v>41</v>
      </c>
      <c r="B49" s="89">
        <v>1</v>
      </c>
      <c r="C49" s="89">
        <v>1</v>
      </c>
      <c r="D49" s="20" t="str">
        <f t="shared" si="0"/>
        <v>2D</v>
      </c>
      <c r="E49" s="86" t="str">
        <f t="shared" si="1"/>
        <v>N.A.</v>
      </c>
      <c r="F49" s="20">
        <f t="shared" si="2"/>
        <v>1</v>
      </c>
      <c r="G49" s="22">
        <f t="shared" si="3"/>
        <v>1</v>
      </c>
      <c r="H49" s="20">
        <f t="shared" si="4"/>
        <v>2.4444444444444446E-2</v>
      </c>
      <c r="I49" s="19" t="s">
        <v>52</v>
      </c>
      <c r="J49" s="79">
        <f t="shared" si="5"/>
        <v>0.12</v>
      </c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ht="13.5" x14ac:dyDescent="0.25">
      <c r="A50" s="18">
        <v>42</v>
      </c>
      <c r="B50" s="89">
        <v>1</v>
      </c>
      <c r="C50" s="89">
        <v>1</v>
      </c>
      <c r="D50" s="20" t="str">
        <f t="shared" si="0"/>
        <v>2D</v>
      </c>
      <c r="E50" s="86" t="str">
        <f t="shared" si="1"/>
        <v>N.A.</v>
      </c>
      <c r="F50" s="20">
        <f t="shared" si="2"/>
        <v>1</v>
      </c>
      <c r="G50" s="22">
        <f t="shared" si="3"/>
        <v>1</v>
      </c>
      <c r="H50" s="20">
        <f t="shared" si="4"/>
        <v>2.4444444444444446E-2</v>
      </c>
      <c r="I50" s="19" t="s">
        <v>52</v>
      </c>
      <c r="J50" s="79">
        <f t="shared" si="5"/>
        <v>0.12</v>
      </c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ht="13.5" x14ac:dyDescent="0.25">
      <c r="A51" s="18">
        <v>43</v>
      </c>
      <c r="B51" s="89">
        <v>1</v>
      </c>
      <c r="C51" s="89">
        <v>1</v>
      </c>
      <c r="D51" s="20" t="str">
        <f t="shared" si="0"/>
        <v>2D</v>
      </c>
      <c r="E51" s="86" t="str">
        <f t="shared" si="1"/>
        <v>N.A.</v>
      </c>
      <c r="F51" s="20">
        <f t="shared" si="2"/>
        <v>1</v>
      </c>
      <c r="G51" s="22">
        <f t="shared" si="3"/>
        <v>1</v>
      </c>
      <c r="H51" s="20">
        <f t="shared" si="4"/>
        <v>2.4444444444444446E-2</v>
      </c>
      <c r="I51" s="19" t="s">
        <v>52</v>
      </c>
      <c r="J51" s="79">
        <f t="shared" si="5"/>
        <v>0.12</v>
      </c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ht="13.5" x14ac:dyDescent="0.25">
      <c r="A52" s="18">
        <v>44</v>
      </c>
      <c r="B52" s="89">
        <v>1</v>
      </c>
      <c r="C52" s="89">
        <v>1</v>
      </c>
      <c r="D52" s="20" t="str">
        <f t="shared" si="0"/>
        <v>2D</v>
      </c>
      <c r="E52" s="86" t="str">
        <f t="shared" si="1"/>
        <v>N.A.</v>
      </c>
      <c r="F52" s="20">
        <f t="shared" si="2"/>
        <v>1</v>
      </c>
      <c r="G52" s="22">
        <f t="shared" si="3"/>
        <v>1</v>
      </c>
      <c r="H52" s="20">
        <f t="shared" si="4"/>
        <v>2.4444444444444446E-2</v>
      </c>
      <c r="I52" s="19" t="s">
        <v>52</v>
      </c>
      <c r="J52" s="79">
        <f t="shared" si="5"/>
        <v>0.12</v>
      </c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ht="13.5" x14ac:dyDescent="0.25">
      <c r="A53" s="18">
        <v>45</v>
      </c>
      <c r="B53" s="89">
        <v>1</v>
      </c>
      <c r="C53" s="89">
        <v>1</v>
      </c>
      <c r="D53" s="20" t="str">
        <f t="shared" si="0"/>
        <v>2D</v>
      </c>
      <c r="E53" s="86" t="str">
        <f t="shared" si="1"/>
        <v>N.A.</v>
      </c>
      <c r="F53" s="20">
        <f t="shared" si="2"/>
        <v>1</v>
      </c>
      <c r="G53" s="22">
        <f t="shared" si="3"/>
        <v>1</v>
      </c>
      <c r="H53" s="20">
        <f t="shared" si="4"/>
        <v>2.4444444444444446E-2</v>
      </c>
      <c r="I53" s="19" t="s">
        <v>52</v>
      </c>
      <c r="J53" s="79">
        <f t="shared" si="5"/>
        <v>0.12</v>
      </c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ht="13.5" x14ac:dyDescent="0.25">
      <c r="A54" s="18">
        <v>46</v>
      </c>
      <c r="B54" s="89">
        <v>1</v>
      </c>
      <c r="C54" s="89">
        <v>1</v>
      </c>
      <c r="D54" s="20" t="str">
        <f t="shared" si="0"/>
        <v>2D</v>
      </c>
      <c r="E54" s="86" t="str">
        <f t="shared" si="1"/>
        <v>N.A.</v>
      </c>
      <c r="F54" s="20">
        <f t="shared" si="2"/>
        <v>1</v>
      </c>
      <c r="G54" s="22">
        <f t="shared" si="3"/>
        <v>1</v>
      </c>
      <c r="H54" s="20">
        <f t="shared" si="4"/>
        <v>2.4444444444444446E-2</v>
      </c>
      <c r="I54" s="19" t="s">
        <v>52</v>
      </c>
      <c r="J54" s="79">
        <f t="shared" si="5"/>
        <v>0.12</v>
      </c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ht="13.5" x14ac:dyDescent="0.25">
      <c r="A55" s="18">
        <v>47</v>
      </c>
      <c r="B55" s="89">
        <v>1</v>
      </c>
      <c r="C55" s="89">
        <v>1</v>
      </c>
      <c r="D55" s="20" t="str">
        <f t="shared" si="0"/>
        <v>2D</v>
      </c>
      <c r="E55" s="86" t="str">
        <f t="shared" si="1"/>
        <v>N.A.</v>
      </c>
      <c r="F55" s="20">
        <f t="shared" si="2"/>
        <v>1</v>
      </c>
      <c r="G55" s="22">
        <f t="shared" si="3"/>
        <v>1</v>
      </c>
      <c r="H55" s="20">
        <f t="shared" si="4"/>
        <v>2.4444444444444446E-2</v>
      </c>
      <c r="I55" s="19" t="s">
        <v>52</v>
      </c>
      <c r="J55" s="79">
        <f t="shared" si="5"/>
        <v>0.12</v>
      </c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ht="13.5" x14ac:dyDescent="0.25">
      <c r="A56" s="18">
        <v>48</v>
      </c>
      <c r="B56" s="89">
        <v>1</v>
      </c>
      <c r="C56" s="89">
        <v>1</v>
      </c>
      <c r="D56" s="20" t="str">
        <f t="shared" si="0"/>
        <v>2D</v>
      </c>
      <c r="E56" s="86" t="str">
        <f t="shared" si="1"/>
        <v>N.A.</v>
      </c>
      <c r="F56" s="20">
        <f t="shared" si="2"/>
        <v>1</v>
      </c>
      <c r="G56" s="22">
        <f t="shared" si="3"/>
        <v>1</v>
      </c>
      <c r="H56" s="20">
        <f t="shared" si="4"/>
        <v>2.4444444444444446E-2</v>
      </c>
      <c r="I56" s="19" t="s">
        <v>52</v>
      </c>
      <c r="J56" s="79">
        <f t="shared" si="5"/>
        <v>0.12</v>
      </c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ht="13.5" x14ac:dyDescent="0.25">
      <c r="A57" s="18">
        <v>49</v>
      </c>
      <c r="B57" s="89">
        <v>1</v>
      </c>
      <c r="C57" s="89">
        <v>1</v>
      </c>
      <c r="D57" s="20" t="str">
        <f t="shared" si="0"/>
        <v>2D</v>
      </c>
      <c r="E57" s="86" t="str">
        <f t="shared" si="1"/>
        <v>N.A.</v>
      </c>
      <c r="F57" s="20">
        <f t="shared" si="2"/>
        <v>1</v>
      </c>
      <c r="G57" s="22">
        <f t="shared" si="3"/>
        <v>1</v>
      </c>
      <c r="H57" s="20">
        <f t="shared" si="4"/>
        <v>2.4444444444444446E-2</v>
      </c>
      <c r="I57" s="19" t="s">
        <v>52</v>
      </c>
      <c r="J57" s="79">
        <f t="shared" si="5"/>
        <v>0.12</v>
      </c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ht="13.5" x14ac:dyDescent="0.25">
      <c r="A58" s="18">
        <v>50</v>
      </c>
      <c r="B58" s="89">
        <v>1</v>
      </c>
      <c r="C58" s="89">
        <v>1</v>
      </c>
      <c r="D58" s="20" t="str">
        <f t="shared" si="0"/>
        <v>2D</v>
      </c>
      <c r="E58" s="86" t="str">
        <f t="shared" si="1"/>
        <v>N.A.</v>
      </c>
      <c r="F58" s="20">
        <f t="shared" si="2"/>
        <v>1</v>
      </c>
      <c r="G58" s="22">
        <f t="shared" si="3"/>
        <v>1</v>
      </c>
      <c r="H58" s="20">
        <f t="shared" si="4"/>
        <v>2.4444444444444446E-2</v>
      </c>
      <c r="I58" s="19" t="s">
        <v>52</v>
      </c>
      <c r="J58" s="79">
        <f t="shared" si="5"/>
        <v>0.12</v>
      </c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mergeCells count="11">
    <mergeCell ref="B2:D2"/>
    <mergeCell ref="E2:F2"/>
    <mergeCell ref="G2:I2"/>
    <mergeCell ref="B3:D3"/>
    <mergeCell ref="E3:F3"/>
    <mergeCell ref="G3:I3"/>
    <mergeCell ref="N7:R7"/>
    <mergeCell ref="S7:W7"/>
    <mergeCell ref="J3:J4"/>
    <mergeCell ref="F4:I4"/>
    <mergeCell ref="H8:J8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5839-53FD-45A6-B8DC-17992901AD62}">
  <sheetPr codeName="Hoja20"/>
  <dimension ref="A1:AC58"/>
  <sheetViews>
    <sheetView zoomScaleNormal="100" workbookViewId="0">
      <selection activeCell="AB1" sqref="AB1:AC65536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2" width="6" bestFit="1" customWidth="1"/>
    <col min="13" max="13" width="5.7109375" bestFit="1" customWidth="1"/>
    <col min="14" max="14" width="8.42578125" bestFit="1" customWidth="1"/>
    <col min="15" max="15" width="4.85546875" bestFit="1" customWidth="1"/>
    <col min="16" max="16" width="5" hidden="1" customWidth="1"/>
    <col min="17" max="17" width="8.7109375" bestFit="1" customWidth="1"/>
    <col min="18" max="18" width="5.85546875" bestFit="1" customWidth="1"/>
    <col min="19" max="19" width="8.7109375" bestFit="1" customWidth="1"/>
    <col min="20" max="20" width="4.85546875" bestFit="1" customWidth="1"/>
    <col min="21" max="21" width="6" hidden="1" customWidth="1"/>
    <col min="22" max="22" width="8.7109375" bestFit="1" customWidth="1"/>
    <col min="23" max="23" width="6.5703125" bestFit="1" customWidth="1"/>
    <col min="24" max="25" width="5.7109375" bestFit="1" customWidth="1"/>
    <col min="26" max="26" width="5.855468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E4</v>
      </c>
    </row>
    <row r="2" spans="1:29" ht="18" customHeight="1" x14ac:dyDescent="0.25">
      <c r="A2" s="57"/>
      <c r="B2" s="214" t="str">
        <f>'Espesor Earlette'!B2:D2</f>
        <v>INGENIERO DEMO</v>
      </c>
      <c r="C2" s="214"/>
      <c r="D2" s="215"/>
      <c r="E2" s="216" t="s">
        <v>0</v>
      </c>
      <c r="F2" s="217"/>
      <c r="G2" s="218" t="str">
        <f>'Espesor Earlette'!G2:I2</f>
        <v>Proyecto Demo</v>
      </c>
      <c r="H2" s="218"/>
      <c r="I2" s="219"/>
      <c r="J2" s="8" t="s">
        <v>1</v>
      </c>
      <c r="AB2" t="str">
        <f ca="1">_xlfn.TEXTAFTER(AB1,"Espesor")</f>
        <v xml:space="preserve"> E4</v>
      </c>
      <c r="AC2" t="str">
        <f ca="1">_xlfn.CONCAT(AB2," ","/")</f>
        <v xml:space="preserve"> E4 /</v>
      </c>
    </row>
    <row r="3" spans="1:29" ht="18" customHeight="1" x14ac:dyDescent="0.25">
      <c r="A3" s="58"/>
      <c r="B3" s="210" t="str">
        <f>'Espesor Earlette'!B3</f>
        <v>INGENIERO CIVIL</v>
      </c>
      <c r="C3" s="211"/>
      <c r="D3" s="212"/>
      <c r="E3" s="200" t="s">
        <v>3</v>
      </c>
      <c r="F3" s="201"/>
      <c r="G3" s="220">
        <f>'Espesor Earlette'!G3:I3</f>
        <v>45904</v>
      </c>
      <c r="H3" s="221"/>
      <c r="I3" s="222"/>
      <c r="J3" s="202">
        <v>1</v>
      </c>
    </row>
    <row r="4" spans="1:29" ht="18" customHeight="1" thickBot="1" x14ac:dyDescent="0.3">
      <c r="A4" s="59"/>
      <c r="B4" s="56" t="s">
        <v>102</v>
      </c>
      <c r="C4" s="53">
        <f>'Espesor Earlette'!C4</f>
        <v>0</v>
      </c>
      <c r="D4" s="54"/>
      <c r="E4" s="12" t="s">
        <v>4</v>
      </c>
      <c r="F4" s="223" t="str">
        <f ca="1">_xlfn.CONCAT("Espesor"," ","de"," ","Losas"," ",AB2)</f>
        <v>Espesor de Losas  E4</v>
      </c>
      <c r="G4" s="224"/>
      <c r="H4" s="224"/>
      <c r="I4" s="225"/>
      <c r="J4" s="203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53</v>
      </c>
      <c r="B6" s="13">
        <f>IF(COUNTIFS(C9:C58,"&lt;&gt;1", B9:B58,"&lt;&gt;1")=0, 50, COUNTIFS(C9:C58,"&lt;&gt;1", B9:B58,"&lt;&gt;1"))</f>
        <v>50</v>
      </c>
      <c r="C6" s="4" t="s">
        <v>42</v>
      </c>
      <c r="D6" s="5">
        <v>4200</v>
      </c>
      <c r="E6" s="3" t="s">
        <v>43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53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  <c r="X7" s="6"/>
      <c r="Y7" s="6"/>
      <c r="Z7" s="6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21" t="s">
        <v>50</v>
      </c>
      <c r="H8" s="188" t="s">
        <v>51</v>
      </c>
      <c r="I8" s="188"/>
      <c r="J8" s="213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8">
        <v>1</v>
      </c>
      <c r="B9" s="89">
        <v>1</v>
      </c>
      <c r="C9" s="89">
        <v>1</v>
      </c>
      <c r="D9" s="20" t="str">
        <f>IF((MAX(B9:C9)/MIN(B9:C9))&gt;2,"1D","2D")</f>
        <v>2D</v>
      </c>
      <c r="E9" s="86" t="str">
        <f>IF(D9="2D","N.A.",10)</f>
        <v>N.A.</v>
      </c>
      <c r="F9" s="20">
        <f>IF(D9="1D",MIN(B9:C9),MAX(B9:C9))</f>
        <v>1</v>
      </c>
      <c r="G9" s="22">
        <f>MAX(B9:C9)/MIN(B9:C9)</f>
        <v>1</v>
      </c>
      <c r="H9" s="20">
        <f>IF(D9="2d",(F9*(0.8+($D$6/14000)))/(36+9*G9),F9/E9)</f>
        <v>2.4444444444444446E-2</v>
      </c>
      <c r="I9" s="19" t="s">
        <v>52</v>
      </c>
      <c r="J9" s="79">
        <f>MAX(0.12,ROUND(H9,2))</f>
        <v>0.12</v>
      </c>
      <c r="L9" s="158">
        <v>0.3</v>
      </c>
      <c r="M9" s="158">
        <v>0.6</v>
      </c>
      <c r="N9" s="156">
        <f>+F9*J9*J9*J9/12</f>
        <v>1.44E-4</v>
      </c>
      <c r="O9" s="151">
        <f>+IF(4*J9&gt;=M9-J9,M9-J9,4*J9)*2+L9</f>
        <v>1.26</v>
      </c>
      <c r="P9" s="151">
        <f>+M9-(0.5*(((O9-L9)*J9*J9)+L9*M9*M9)/((O9-L9)*J9+L9*M9))</f>
        <v>0.39365853658536587</v>
      </c>
      <c r="Q9" s="156">
        <f>+(O9-L9)*J9*J9*J9/12+L9*M9*M9*M9/12+(O9-L9)*J9*POWER(M9-J9*0.5-P9,2)+L9*M9*POWER(P9-0.5*M9,2)</f>
        <v>9.5842887804878062E-3</v>
      </c>
      <c r="R9" s="152">
        <f>+Q9/N9</f>
        <v>66.557560975609761</v>
      </c>
      <c r="S9" s="156">
        <f>+F9*J9*J9*J9*0.5/12</f>
        <v>7.2000000000000002E-5</v>
      </c>
      <c r="T9" s="155">
        <f>+IF(4*J9&gt;=M9-J9,M9-J9,4*J9)+L9</f>
        <v>0.78</v>
      </c>
      <c r="U9" s="154">
        <f>+M9-(0.5*(((T9-L9)*J9*J9)+L9*M9*M9)/((T9-L9)*J9+L9*M9))</f>
        <v>0.35818181818181816</v>
      </c>
      <c r="V9" s="156">
        <f>+(T9-L9)*J9*J9*J9/12+L9*M9*M9*M9/12+(T9-L9)*J9*POWER(M9-J9*0.5-U9,2)+L9*M9*POWER(U9-0.5*M9,2)</f>
        <v>7.9825745454545453E-3</v>
      </c>
      <c r="W9" s="152">
        <f>+V9/S9</f>
        <v>110.8690909090909</v>
      </c>
      <c r="X9" s="158">
        <v>2</v>
      </c>
      <c r="Y9" s="158">
        <v>2</v>
      </c>
      <c r="Z9" s="151">
        <f>+(X9*R9+Y9*W9)/4</f>
        <v>88.713325942350338</v>
      </c>
      <c r="AA9" s="154">
        <f>+(F9*(0.8+($D$6/14000)))/(36+5*((IF(Z9&gt;2,2,Z9))-0.2)*G9)</f>
        <v>2.4444444444444446E-2</v>
      </c>
    </row>
    <row r="10" spans="1:29" ht="13.5" x14ac:dyDescent="0.25">
      <c r="A10" s="18">
        <v>2</v>
      </c>
      <c r="B10" s="89">
        <v>1</v>
      </c>
      <c r="C10" s="89">
        <v>1</v>
      </c>
      <c r="D10" s="20" t="str">
        <f t="shared" ref="D10:D58" si="0">IF((MAX(B10:C10)/MIN(B10:C10))&gt;2,"1D","2D")</f>
        <v>2D</v>
      </c>
      <c r="E10" s="86" t="str">
        <f t="shared" ref="E10:E58" si="1">IF(D10="2D","N.A.",10)</f>
        <v>N.A.</v>
      </c>
      <c r="F10" s="20">
        <f t="shared" ref="F10:F58" si="2">IF(D10="1D",MIN(B10:C10),MAX(B10:C10))</f>
        <v>1</v>
      </c>
      <c r="G10" s="22">
        <f t="shared" ref="G10:G58" si="3">MAX(B10:C10)/MIN(B10:C10)</f>
        <v>1</v>
      </c>
      <c r="H10" s="20">
        <f t="shared" ref="H10:H58" si="4">IF(D10="2d",(F10*(0.8+($D$6/14000)))/(36+9*G10),F10/E10)</f>
        <v>2.4444444444444446E-2</v>
      </c>
      <c r="I10" s="19" t="s">
        <v>52</v>
      </c>
      <c r="J10" s="79">
        <f t="shared" ref="J10:J58" si="5">MAX(0.12,ROUND(H10,2))</f>
        <v>0.12</v>
      </c>
      <c r="L10" s="158">
        <v>0.3</v>
      </c>
      <c r="M10" s="158">
        <v>0.6</v>
      </c>
      <c r="N10" s="156">
        <f t="shared" ref="N10:N58" si="6">+F10*J10*J10*J10/12</f>
        <v>1.44E-4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66.557560975609761</v>
      </c>
      <c r="S10" s="156">
        <f t="shared" ref="S10:S58" si="11">+F10*J10*J10*J10*0.5/12</f>
        <v>7.2000000000000002E-5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110.8690909090909</v>
      </c>
      <c r="X10" s="158">
        <v>2</v>
      </c>
      <c r="Y10" s="158">
        <v>2</v>
      </c>
      <c r="Z10" s="151">
        <f t="shared" ref="Z10:Z58" si="16">+(X10*R10+Y10*W10)/4</f>
        <v>88.713325942350338</v>
      </c>
      <c r="AA10" s="154">
        <f t="shared" ref="AA10:AA58" si="17">+(F10*(0.8+($D$6/14000)))/(36+5*((IF(Z10&gt;2,2,Z10))-0.2)*G10)</f>
        <v>2.4444444444444446E-2</v>
      </c>
    </row>
    <row r="11" spans="1:29" ht="13.5" x14ac:dyDescent="0.25">
      <c r="A11" s="18">
        <v>3</v>
      </c>
      <c r="B11" s="89">
        <v>1</v>
      </c>
      <c r="C11" s="89">
        <v>1</v>
      </c>
      <c r="D11" s="20" t="str">
        <f t="shared" si="0"/>
        <v>2D</v>
      </c>
      <c r="E11" s="86" t="str">
        <f t="shared" si="1"/>
        <v>N.A.</v>
      </c>
      <c r="F11" s="20">
        <f t="shared" si="2"/>
        <v>1</v>
      </c>
      <c r="G11" s="22">
        <f t="shared" si="3"/>
        <v>1</v>
      </c>
      <c r="H11" s="20">
        <f t="shared" si="4"/>
        <v>2.4444444444444446E-2</v>
      </c>
      <c r="I11" s="19" t="s">
        <v>52</v>
      </c>
      <c r="J11" s="79">
        <f t="shared" si="5"/>
        <v>0.12</v>
      </c>
      <c r="L11" s="158">
        <v>0.3</v>
      </c>
      <c r="M11" s="158">
        <v>0.6</v>
      </c>
      <c r="N11" s="156">
        <f t="shared" si="6"/>
        <v>1.44E-4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66.557560975609761</v>
      </c>
      <c r="S11" s="156">
        <f t="shared" si="11"/>
        <v>7.2000000000000002E-5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110.8690909090909</v>
      </c>
      <c r="X11" s="158">
        <v>2</v>
      </c>
      <c r="Y11" s="158">
        <v>2</v>
      </c>
      <c r="Z11" s="151">
        <f t="shared" si="16"/>
        <v>88.713325942350338</v>
      </c>
      <c r="AA11" s="154">
        <f t="shared" si="17"/>
        <v>2.4444444444444446E-2</v>
      </c>
    </row>
    <row r="12" spans="1:29" ht="13.5" x14ac:dyDescent="0.25">
      <c r="A12" s="18">
        <v>4</v>
      </c>
      <c r="B12" s="89">
        <v>1</v>
      </c>
      <c r="C12" s="89">
        <v>1</v>
      </c>
      <c r="D12" s="20" t="str">
        <f t="shared" si="0"/>
        <v>2D</v>
      </c>
      <c r="E12" s="86" t="str">
        <f t="shared" si="1"/>
        <v>N.A.</v>
      </c>
      <c r="F12" s="20">
        <f t="shared" si="2"/>
        <v>1</v>
      </c>
      <c r="G12" s="22">
        <f t="shared" si="3"/>
        <v>1</v>
      </c>
      <c r="H12" s="20">
        <f t="shared" si="4"/>
        <v>2.4444444444444446E-2</v>
      </c>
      <c r="I12" s="19" t="s">
        <v>52</v>
      </c>
      <c r="J12" s="79">
        <f t="shared" si="5"/>
        <v>0.12</v>
      </c>
      <c r="L12" s="158">
        <v>0.3</v>
      </c>
      <c r="M12" s="158">
        <v>0.6</v>
      </c>
      <c r="N12" s="156">
        <f t="shared" si="6"/>
        <v>1.44E-4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66.557560975609761</v>
      </c>
      <c r="S12" s="156">
        <f t="shared" si="11"/>
        <v>7.2000000000000002E-5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110.8690909090909</v>
      </c>
      <c r="X12" s="158">
        <v>2</v>
      </c>
      <c r="Y12" s="158">
        <v>2</v>
      </c>
      <c r="Z12" s="151">
        <f t="shared" si="16"/>
        <v>88.713325942350338</v>
      </c>
      <c r="AA12" s="154">
        <f t="shared" si="17"/>
        <v>2.4444444444444446E-2</v>
      </c>
    </row>
    <row r="13" spans="1:29" ht="13.5" x14ac:dyDescent="0.25">
      <c r="A13" s="18">
        <v>5</v>
      </c>
      <c r="B13" s="89">
        <v>1</v>
      </c>
      <c r="C13" s="89">
        <v>1</v>
      </c>
      <c r="D13" s="20" t="str">
        <f t="shared" si="0"/>
        <v>2D</v>
      </c>
      <c r="E13" s="86" t="str">
        <f t="shared" si="1"/>
        <v>N.A.</v>
      </c>
      <c r="F13" s="20">
        <f t="shared" si="2"/>
        <v>1</v>
      </c>
      <c r="G13" s="22">
        <f t="shared" si="3"/>
        <v>1</v>
      </c>
      <c r="H13" s="20">
        <f t="shared" si="4"/>
        <v>2.4444444444444446E-2</v>
      </c>
      <c r="I13" s="19" t="s">
        <v>52</v>
      </c>
      <c r="J13" s="79">
        <f t="shared" si="5"/>
        <v>0.12</v>
      </c>
      <c r="L13" s="158">
        <v>0.3</v>
      </c>
      <c r="M13" s="158">
        <v>0.6</v>
      </c>
      <c r="N13" s="156">
        <f t="shared" si="6"/>
        <v>1.44E-4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66.557560975609761</v>
      </c>
      <c r="S13" s="156">
        <f t="shared" si="11"/>
        <v>7.2000000000000002E-5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110.8690909090909</v>
      </c>
      <c r="X13" s="158">
        <v>2</v>
      </c>
      <c r="Y13" s="158">
        <v>2</v>
      </c>
      <c r="Z13" s="151">
        <f t="shared" si="16"/>
        <v>88.713325942350338</v>
      </c>
      <c r="AA13" s="154">
        <f t="shared" si="17"/>
        <v>2.4444444444444446E-2</v>
      </c>
    </row>
    <row r="14" spans="1:29" ht="13.5" x14ac:dyDescent="0.25">
      <c r="A14" s="18">
        <v>6</v>
      </c>
      <c r="B14" s="89">
        <v>1</v>
      </c>
      <c r="C14" s="89">
        <v>1</v>
      </c>
      <c r="D14" s="20" t="str">
        <f t="shared" si="0"/>
        <v>2D</v>
      </c>
      <c r="E14" s="86" t="str">
        <f t="shared" si="1"/>
        <v>N.A.</v>
      </c>
      <c r="F14" s="20">
        <f t="shared" si="2"/>
        <v>1</v>
      </c>
      <c r="G14" s="22">
        <f t="shared" si="3"/>
        <v>1</v>
      </c>
      <c r="H14" s="20">
        <f t="shared" si="4"/>
        <v>2.4444444444444446E-2</v>
      </c>
      <c r="I14" s="19" t="s">
        <v>52</v>
      </c>
      <c r="J14" s="79">
        <f t="shared" si="5"/>
        <v>0.12</v>
      </c>
      <c r="L14" s="158">
        <v>0.3</v>
      </c>
      <c r="M14" s="158">
        <v>0.6</v>
      </c>
      <c r="N14" s="156">
        <f t="shared" si="6"/>
        <v>1.44E-4</v>
      </c>
      <c r="O14" s="151">
        <f t="shared" si="7"/>
        <v>1.26</v>
      </c>
      <c r="P14" s="151">
        <f t="shared" si="8"/>
        <v>0.39365853658536587</v>
      </c>
      <c r="Q14" s="156">
        <f t="shared" si="9"/>
        <v>9.5842887804878062E-3</v>
      </c>
      <c r="R14" s="152">
        <f t="shared" si="10"/>
        <v>66.557560975609761</v>
      </c>
      <c r="S14" s="156">
        <f t="shared" si="11"/>
        <v>7.2000000000000002E-5</v>
      </c>
      <c r="T14" s="155">
        <f t="shared" si="12"/>
        <v>0.78</v>
      </c>
      <c r="U14" s="154">
        <f t="shared" si="13"/>
        <v>0.35818181818181816</v>
      </c>
      <c r="V14" s="156">
        <f t="shared" si="14"/>
        <v>7.9825745454545453E-3</v>
      </c>
      <c r="W14" s="152">
        <f t="shared" si="15"/>
        <v>110.8690909090909</v>
      </c>
      <c r="X14" s="158">
        <v>2</v>
      </c>
      <c r="Y14" s="158">
        <v>2</v>
      </c>
      <c r="Z14" s="151">
        <f t="shared" si="16"/>
        <v>88.713325942350338</v>
      </c>
      <c r="AA14" s="154">
        <f t="shared" si="17"/>
        <v>2.4444444444444446E-2</v>
      </c>
    </row>
    <row r="15" spans="1:29" ht="13.5" x14ac:dyDescent="0.25">
      <c r="A15" s="18">
        <v>7</v>
      </c>
      <c r="B15" s="89">
        <v>1</v>
      </c>
      <c r="C15" s="89">
        <v>1</v>
      </c>
      <c r="D15" s="20" t="str">
        <f t="shared" si="0"/>
        <v>2D</v>
      </c>
      <c r="E15" s="86" t="str">
        <f t="shared" si="1"/>
        <v>N.A.</v>
      </c>
      <c r="F15" s="20">
        <f t="shared" si="2"/>
        <v>1</v>
      </c>
      <c r="G15" s="22">
        <f t="shared" si="3"/>
        <v>1</v>
      </c>
      <c r="H15" s="20">
        <f t="shared" si="4"/>
        <v>2.4444444444444446E-2</v>
      </c>
      <c r="I15" s="19" t="s">
        <v>52</v>
      </c>
      <c r="J15" s="79">
        <f t="shared" si="5"/>
        <v>0.12</v>
      </c>
      <c r="L15" s="158">
        <v>0.3</v>
      </c>
      <c r="M15" s="158">
        <v>0.6</v>
      </c>
      <c r="N15" s="156">
        <f t="shared" si="6"/>
        <v>1.44E-4</v>
      </c>
      <c r="O15" s="151">
        <f t="shared" si="7"/>
        <v>1.26</v>
      </c>
      <c r="P15" s="151">
        <f t="shared" si="8"/>
        <v>0.39365853658536587</v>
      </c>
      <c r="Q15" s="156">
        <f t="shared" si="9"/>
        <v>9.5842887804878062E-3</v>
      </c>
      <c r="R15" s="152">
        <f t="shared" si="10"/>
        <v>66.557560975609761</v>
      </c>
      <c r="S15" s="156">
        <f t="shared" si="11"/>
        <v>7.2000000000000002E-5</v>
      </c>
      <c r="T15" s="155">
        <f t="shared" si="12"/>
        <v>0.78</v>
      </c>
      <c r="U15" s="154">
        <f t="shared" si="13"/>
        <v>0.35818181818181816</v>
      </c>
      <c r="V15" s="156">
        <f t="shared" si="14"/>
        <v>7.9825745454545453E-3</v>
      </c>
      <c r="W15" s="152">
        <f t="shared" si="15"/>
        <v>110.8690909090909</v>
      </c>
      <c r="X15" s="158">
        <v>2</v>
      </c>
      <c r="Y15" s="158">
        <v>2</v>
      </c>
      <c r="Z15" s="151">
        <f t="shared" si="16"/>
        <v>88.713325942350338</v>
      </c>
      <c r="AA15" s="154">
        <f t="shared" si="17"/>
        <v>2.4444444444444446E-2</v>
      </c>
    </row>
    <row r="16" spans="1:29" ht="13.5" x14ac:dyDescent="0.25">
      <c r="A16" s="18">
        <v>8</v>
      </c>
      <c r="B16" s="89">
        <v>1</v>
      </c>
      <c r="C16" s="89">
        <v>1</v>
      </c>
      <c r="D16" s="20" t="str">
        <f t="shared" si="0"/>
        <v>2D</v>
      </c>
      <c r="E16" s="86" t="str">
        <f t="shared" si="1"/>
        <v>N.A.</v>
      </c>
      <c r="F16" s="20">
        <f t="shared" si="2"/>
        <v>1</v>
      </c>
      <c r="G16" s="22">
        <f t="shared" si="3"/>
        <v>1</v>
      </c>
      <c r="H16" s="20">
        <f t="shared" si="4"/>
        <v>2.4444444444444446E-2</v>
      </c>
      <c r="I16" s="19" t="s">
        <v>52</v>
      </c>
      <c r="J16" s="79">
        <f t="shared" si="5"/>
        <v>0.12</v>
      </c>
      <c r="L16" s="158">
        <v>0.3</v>
      </c>
      <c r="M16" s="158">
        <v>0.6</v>
      </c>
      <c r="N16" s="156">
        <f t="shared" si="6"/>
        <v>1.44E-4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66.557560975609761</v>
      </c>
      <c r="S16" s="156">
        <f t="shared" si="11"/>
        <v>7.2000000000000002E-5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110.8690909090909</v>
      </c>
      <c r="X16" s="158">
        <v>2</v>
      </c>
      <c r="Y16" s="158">
        <v>2</v>
      </c>
      <c r="Z16" s="151">
        <f t="shared" si="16"/>
        <v>88.713325942350338</v>
      </c>
      <c r="AA16" s="154">
        <f t="shared" si="17"/>
        <v>2.4444444444444446E-2</v>
      </c>
    </row>
    <row r="17" spans="1:27" ht="13.5" x14ac:dyDescent="0.25">
      <c r="A17" s="18">
        <v>9</v>
      </c>
      <c r="B17" s="89">
        <v>1</v>
      </c>
      <c r="C17" s="89">
        <v>1</v>
      </c>
      <c r="D17" s="20" t="str">
        <f t="shared" si="0"/>
        <v>2D</v>
      </c>
      <c r="E17" s="86" t="str">
        <f t="shared" si="1"/>
        <v>N.A.</v>
      </c>
      <c r="F17" s="20">
        <f t="shared" si="2"/>
        <v>1</v>
      </c>
      <c r="G17" s="22">
        <f t="shared" si="3"/>
        <v>1</v>
      </c>
      <c r="H17" s="20">
        <f t="shared" si="4"/>
        <v>2.4444444444444446E-2</v>
      </c>
      <c r="I17" s="19" t="s">
        <v>52</v>
      </c>
      <c r="J17" s="79">
        <f t="shared" si="5"/>
        <v>0.12</v>
      </c>
      <c r="L17" s="158">
        <v>0.3</v>
      </c>
      <c r="M17" s="158">
        <v>0.6</v>
      </c>
      <c r="N17" s="156">
        <f t="shared" si="6"/>
        <v>1.44E-4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66.557560975609761</v>
      </c>
      <c r="S17" s="156">
        <f t="shared" si="11"/>
        <v>7.2000000000000002E-5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110.8690909090909</v>
      </c>
      <c r="X17" s="158">
        <v>2</v>
      </c>
      <c r="Y17" s="158">
        <v>2</v>
      </c>
      <c r="Z17" s="151">
        <f t="shared" si="16"/>
        <v>88.713325942350338</v>
      </c>
      <c r="AA17" s="154">
        <f t="shared" si="17"/>
        <v>2.4444444444444446E-2</v>
      </c>
    </row>
    <row r="18" spans="1:27" ht="13.5" x14ac:dyDescent="0.25">
      <c r="A18" s="18">
        <v>10</v>
      </c>
      <c r="B18" s="89">
        <v>1</v>
      </c>
      <c r="C18" s="89">
        <v>1</v>
      </c>
      <c r="D18" s="20" t="str">
        <f t="shared" si="0"/>
        <v>2D</v>
      </c>
      <c r="E18" s="86" t="str">
        <f t="shared" si="1"/>
        <v>N.A.</v>
      </c>
      <c r="F18" s="20">
        <f t="shared" si="2"/>
        <v>1</v>
      </c>
      <c r="G18" s="22">
        <f t="shared" si="3"/>
        <v>1</v>
      </c>
      <c r="H18" s="20">
        <f t="shared" si="4"/>
        <v>2.4444444444444446E-2</v>
      </c>
      <c r="I18" s="19" t="s">
        <v>52</v>
      </c>
      <c r="J18" s="79">
        <f t="shared" si="5"/>
        <v>0.12</v>
      </c>
      <c r="L18" s="158">
        <v>0.3</v>
      </c>
      <c r="M18" s="158">
        <v>0.6</v>
      </c>
      <c r="N18" s="156">
        <f t="shared" si="6"/>
        <v>1.44E-4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66.557560975609761</v>
      </c>
      <c r="S18" s="156">
        <f t="shared" si="11"/>
        <v>7.2000000000000002E-5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110.8690909090909</v>
      </c>
      <c r="X18" s="158">
        <v>2</v>
      </c>
      <c r="Y18" s="158">
        <v>2</v>
      </c>
      <c r="Z18" s="151">
        <f t="shared" si="16"/>
        <v>88.713325942350338</v>
      </c>
      <c r="AA18" s="154">
        <f t="shared" si="17"/>
        <v>2.4444444444444446E-2</v>
      </c>
    </row>
    <row r="19" spans="1:27" ht="13.5" x14ac:dyDescent="0.25">
      <c r="A19" s="18">
        <v>11</v>
      </c>
      <c r="B19" s="89">
        <v>1</v>
      </c>
      <c r="C19" s="89">
        <v>1</v>
      </c>
      <c r="D19" s="20" t="str">
        <f t="shared" si="0"/>
        <v>2D</v>
      </c>
      <c r="E19" s="86" t="str">
        <f t="shared" si="1"/>
        <v>N.A.</v>
      </c>
      <c r="F19" s="20">
        <f t="shared" si="2"/>
        <v>1</v>
      </c>
      <c r="G19" s="22">
        <f t="shared" si="3"/>
        <v>1</v>
      </c>
      <c r="H19" s="20">
        <f t="shared" si="4"/>
        <v>2.4444444444444446E-2</v>
      </c>
      <c r="I19" s="19" t="s">
        <v>52</v>
      </c>
      <c r="J19" s="79">
        <f t="shared" si="5"/>
        <v>0.12</v>
      </c>
      <c r="L19" s="158">
        <v>0.3</v>
      </c>
      <c r="M19" s="158">
        <v>0.6</v>
      </c>
      <c r="N19" s="156">
        <f t="shared" si="6"/>
        <v>1.44E-4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66.557560975609761</v>
      </c>
      <c r="S19" s="156">
        <f t="shared" si="11"/>
        <v>7.2000000000000002E-5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110.8690909090909</v>
      </c>
      <c r="X19" s="158">
        <v>2</v>
      </c>
      <c r="Y19" s="158">
        <v>2</v>
      </c>
      <c r="Z19" s="151">
        <f t="shared" si="16"/>
        <v>88.713325942350338</v>
      </c>
      <c r="AA19" s="154">
        <f t="shared" si="17"/>
        <v>2.4444444444444446E-2</v>
      </c>
    </row>
    <row r="20" spans="1:27" ht="13.5" x14ac:dyDescent="0.25">
      <c r="A20" s="18">
        <v>12</v>
      </c>
      <c r="B20" s="89">
        <v>1</v>
      </c>
      <c r="C20" s="89">
        <v>1</v>
      </c>
      <c r="D20" s="20" t="str">
        <f t="shared" si="0"/>
        <v>2D</v>
      </c>
      <c r="E20" s="86" t="str">
        <f t="shared" si="1"/>
        <v>N.A.</v>
      </c>
      <c r="F20" s="20">
        <f t="shared" si="2"/>
        <v>1</v>
      </c>
      <c r="G20" s="22">
        <f t="shared" si="3"/>
        <v>1</v>
      </c>
      <c r="H20" s="20">
        <f t="shared" si="4"/>
        <v>2.4444444444444446E-2</v>
      </c>
      <c r="I20" s="19" t="s">
        <v>52</v>
      </c>
      <c r="J20" s="79">
        <f t="shared" si="5"/>
        <v>0.12</v>
      </c>
      <c r="L20" s="158">
        <v>0.3</v>
      </c>
      <c r="M20" s="158">
        <v>0.6</v>
      </c>
      <c r="N20" s="156">
        <f t="shared" si="6"/>
        <v>1.44E-4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66.557560975609761</v>
      </c>
      <c r="S20" s="156">
        <f t="shared" si="11"/>
        <v>7.2000000000000002E-5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110.8690909090909</v>
      </c>
      <c r="X20" s="158">
        <v>2</v>
      </c>
      <c r="Y20" s="158">
        <v>2</v>
      </c>
      <c r="Z20" s="151">
        <f t="shared" si="16"/>
        <v>88.713325942350338</v>
      </c>
      <c r="AA20" s="154">
        <f t="shared" si="17"/>
        <v>2.4444444444444446E-2</v>
      </c>
    </row>
    <row r="21" spans="1:27" ht="13.5" x14ac:dyDescent="0.25">
      <c r="A21" s="18">
        <v>13</v>
      </c>
      <c r="B21" s="89">
        <v>1</v>
      </c>
      <c r="C21" s="89">
        <v>1</v>
      </c>
      <c r="D21" s="20" t="str">
        <f t="shared" si="0"/>
        <v>2D</v>
      </c>
      <c r="E21" s="86" t="str">
        <f t="shared" si="1"/>
        <v>N.A.</v>
      </c>
      <c r="F21" s="20">
        <f t="shared" si="2"/>
        <v>1</v>
      </c>
      <c r="G21" s="22">
        <f t="shared" si="3"/>
        <v>1</v>
      </c>
      <c r="H21" s="20">
        <f t="shared" si="4"/>
        <v>2.4444444444444446E-2</v>
      </c>
      <c r="I21" s="19" t="s">
        <v>52</v>
      </c>
      <c r="J21" s="79">
        <f t="shared" si="5"/>
        <v>0.12</v>
      </c>
      <c r="L21" s="158">
        <v>0.3</v>
      </c>
      <c r="M21" s="158">
        <v>0.6</v>
      </c>
      <c r="N21" s="156">
        <f t="shared" si="6"/>
        <v>1.44E-4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66.557560975609761</v>
      </c>
      <c r="S21" s="156">
        <f t="shared" si="11"/>
        <v>7.2000000000000002E-5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110.8690909090909</v>
      </c>
      <c r="X21" s="158">
        <v>2</v>
      </c>
      <c r="Y21" s="158">
        <v>2</v>
      </c>
      <c r="Z21" s="151">
        <f t="shared" si="16"/>
        <v>88.713325942350338</v>
      </c>
      <c r="AA21" s="154">
        <f t="shared" si="17"/>
        <v>2.4444444444444446E-2</v>
      </c>
    </row>
    <row r="22" spans="1:27" ht="13.5" x14ac:dyDescent="0.25">
      <c r="A22" s="18">
        <v>14</v>
      </c>
      <c r="B22" s="89">
        <v>1</v>
      </c>
      <c r="C22" s="89">
        <v>1</v>
      </c>
      <c r="D22" s="20" t="str">
        <f t="shared" si="0"/>
        <v>2D</v>
      </c>
      <c r="E22" s="86" t="str">
        <f t="shared" si="1"/>
        <v>N.A.</v>
      </c>
      <c r="F22" s="20">
        <f t="shared" si="2"/>
        <v>1</v>
      </c>
      <c r="G22" s="22">
        <f t="shared" si="3"/>
        <v>1</v>
      </c>
      <c r="H22" s="20">
        <f t="shared" si="4"/>
        <v>2.4444444444444446E-2</v>
      </c>
      <c r="I22" s="19" t="s">
        <v>52</v>
      </c>
      <c r="J22" s="79">
        <f t="shared" si="5"/>
        <v>0.12</v>
      </c>
      <c r="L22" s="158">
        <v>0.3</v>
      </c>
      <c r="M22" s="158">
        <v>0.6</v>
      </c>
      <c r="N22" s="156">
        <f t="shared" si="6"/>
        <v>1.44E-4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66.557560975609761</v>
      </c>
      <c r="S22" s="156">
        <f t="shared" si="11"/>
        <v>7.2000000000000002E-5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110.8690909090909</v>
      </c>
      <c r="X22" s="158">
        <v>2</v>
      </c>
      <c r="Y22" s="158">
        <v>2</v>
      </c>
      <c r="Z22" s="151">
        <f t="shared" si="16"/>
        <v>88.713325942350338</v>
      </c>
      <c r="AA22" s="154">
        <f t="shared" si="17"/>
        <v>2.4444444444444446E-2</v>
      </c>
    </row>
    <row r="23" spans="1:27" ht="13.5" x14ac:dyDescent="0.25">
      <c r="A23" s="18">
        <v>15</v>
      </c>
      <c r="B23" s="89">
        <v>1</v>
      </c>
      <c r="C23" s="89">
        <v>1</v>
      </c>
      <c r="D23" s="20" t="str">
        <f t="shared" si="0"/>
        <v>2D</v>
      </c>
      <c r="E23" s="86" t="str">
        <f t="shared" si="1"/>
        <v>N.A.</v>
      </c>
      <c r="F23" s="20">
        <f t="shared" si="2"/>
        <v>1</v>
      </c>
      <c r="G23" s="22">
        <f t="shared" si="3"/>
        <v>1</v>
      </c>
      <c r="H23" s="20">
        <f t="shared" si="4"/>
        <v>2.4444444444444446E-2</v>
      </c>
      <c r="I23" s="19" t="s">
        <v>52</v>
      </c>
      <c r="J23" s="79">
        <f t="shared" si="5"/>
        <v>0.12</v>
      </c>
      <c r="L23" s="158">
        <v>0.3</v>
      </c>
      <c r="M23" s="158">
        <v>0.6</v>
      </c>
      <c r="N23" s="156">
        <f t="shared" si="6"/>
        <v>1.44E-4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66.557560975609761</v>
      </c>
      <c r="S23" s="156">
        <f t="shared" si="11"/>
        <v>7.2000000000000002E-5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110.8690909090909</v>
      </c>
      <c r="X23" s="158">
        <v>2</v>
      </c>
      <c r="Y23" s="158">
        <v>2</v>
      </c>
      <c r="Z23" s="151">
        <f t="shared" si="16"/>
        <v>88.713325942350338</v>
      </c>
      <c r="AA23" s="154">
        <f t="shared" si="17"/>
        <v>2.4444444444444446E-2</v>
      </c>
    </row>
    <row r="24" spans="1:27" ht="13.5" x14ac:dyDescent="0.25">
      <c r="A24" s="18">
        <v>16</v>
      </c>
      <c r="B24" s="89">
        <v>1</v>
      </c>
      <c r="C24" s="89">
        <v>1</v>
      </c>
      <c r="D24" s="20" t="str">
        <f t="shared" si="0"/>
        <v>2D</v>
      </c>
      <c r="E24" s="86" t="str">
        <f t="shared" si="1"/>
        <v>N.A.</v>
      </c>
      <c r="F24" s="20">
        <f t="shared" si="2"/>
        <v>1</v>
      </c>
      <c r="G24" s="22">
        <f t="shared" si="3"/>
        <v>1</v>
      </c>
      <c r="H24" s="20">
        <f t="shared" si="4"/>
        <v>2.4444444444444446E-2</v>
      </c>
      <c r="I24" s="19" t="s">
        <v>52</v>
      </c>
      <c r="J24" s="79">
        <f t="shared" si="5"/>
        <v>0.12</v>
      </c>
      <c r="L24" s="158">
        <v>0.3</v>
      </c>
      <c r="M24" s="158">
        <v>0.6</v>
      </c>
      <c r="N24" s="156">
        <f t="shared" si="6"/>
        <v>1.44E-4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66.557560975609761</v>
      </c>
      <c r="S24" s="156">
        <f t="shared" si="11"/>
        <v>7.2000000000000002E-5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110.8690909090909</v>
      </c>
      <c r="X24" s="158">
        <v>2</v>
      </c>
      <c r="Y24" s="158">
        <v>2</v>
      </c>
      <c r="Z24" s="151">
        <f t="shared" si="16"/>
        <v>88.713325942350338</v>
      </c>
      <c r="AA24" s="154">
        <f t="shared" si="17"/>
        <v>2.4444444444444446E-2</v>
      </c>
    </row>
    <row r="25" spans="1:27" ht="13.5" x14ac:dyDescent="0.25">
      <c r="A25" s="18">
        <v>17</v>
      </c>
      <c r="B25" s="89">
        <v>1</v>
      </c>
      <c r="C25" s="89">
        <v>1</v>
      </c>
      <c r="D25" s="20" t="str">
        <f t="shared" si="0"/>
        <v>2D</v>
      </c>
      <c r="E25" s="86" t="str">
        <f t="shared" si="1"/>
        <v>N.A.</v>
      </c>
      <c r="F25" s="20">
        <f t="shared" si="2"/>
        <v>1</v>
      </c>
      <c r="G25" s="22">
        <f t="shared" si="3"/>
        <v>1</v>
      </c>
      <c r="H25" s="20">
        <f t="shared" si="4"/>
        <v>2.4444444444444446E-2</v>
      </c>
      <c r="I25" s="19" t="s">
        <v>52</v>
      </c>
      <c r="J25" s="79">
        <f t="shared" si="5"/>
        <v>0.12</v>
      </c>
      <c r="L25" s="158">
        <v>0.3</v>
      </c>
      <c r="M25" s="158">
        <v>0.6</v>
      </c>
      <c r="N25" s="156">
        <f t="shared" si="6"/>
        <v>1.44E-4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66.557560975609761</v>
      </c>
      <c r="S25" s="156">
        <f t="shared" si="11"/>
        <v>7.2000000000000002E-5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110.8690909090909</v>
      </c>
      <c r="X25" s="158">
        <v>2</v>
      </c>
      <c r="Y25" s="158">
        <v>2</v>
      </c>
      <c r="Z25" s="151">
        <f t="shared" si="16"/>
        <v>88.713325942350338</v>
      </c>
      <c r="AA25" s="154">
        <f t="shared" si="17"/>
        <v>2.4444444444444446E-2</v>
      </c>
    </row>
    <row r="26" spans="1:27" ht="13.5" x14ac:dyDescent="0.25">
      <c r="A26" s="18">
        <v>18</v>
      </c>
      <c r="B26" s="89">
        <v>1</v>
      </c>
      <c r="C26" s="89">
        <v>1</v>
      </c>
      <c r="D26" s="20" t="str">
        <f t="shared" si="0"/>
        <v>2D</v>
      </c>
      <c r="E26" s="86" t="str">
        <f t="shared" si="1"/>
        <v>N.A.</v>
      </c>
      <c r="F26" s="20">
        <f t="shared" si="2"/>
        <v>1</v>
      </c>
      <c r="G26" s="22">
        <f t="shared" si="3"/>
        <v>1</v>
      </c>
      <c r="H26" s="20">
        <f t="shared" si="4"/>
        <v>2.4444444444444446E-2</v>
      </c>
      <c r="I26" s="19" t="s">
        <v>52</v>
      </c>
      <c r="J26" s="79">
        <f t="shared" si="5"/>
        <v>0.12</v>
      </c>
      <c r="L26" s="158">
        <v>0.3</v>
      </c>
      <c r="M26" s="158">
        <v>0.6</v>
      </c>
      <c r="N26" s="156">
        <f t="shared" si="6"/>
        <v>1.44E-4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66.557560975609761</v>
      </c>
      <c r="S26" s="156">
        <f t="shared" si="11"/>
        <v>7.2000000000000002E-5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110.8690909090909</v>
      </c>
      <c r="X26" s="158">
        <v>2</v>
      </c>
      <c r="Y26" s="158">
        <v>2</v>
      </c>
      <c r="Z26" s="151">
        <f t="shared" si="16"/>
        <v>88.713325942350338</v>
      </c>
      <c r="AA26" s="154">
        <f t="shared" si="17"/>
        <v>2.4444444444444446E-2</v>
      </c>
    </row>
    <row r="27" spans="1:27" ht="13.5" x14ac:dyDescent="0.25">
      <c r="A27" s="18">
        <v>19</v>
      </c>
      <c r="B27" s="89">
        <v>1</v>
      </c>
      <c r="C27" s="89">
        <v>1</v>
      </c>
      <c r="D27" s="20" t="str">
        <f t="shared" si="0"/>
        <v>2D</v>
      </c>
      <c r="E27" s="86" t="str">
        <f t="shared" si="1"/>
        <v>N.A.</v>
      </c>
      <c r="F27" s="20">
        <f t="shared" si="2"/>
        <v>1</v>
      </c>
      <c r="G27" s="22">
        <f t="shared" si="3"/>
        <v>1</v>
      </c>
      <c r="H27" s="20">
        <f t="shared" si="4"/>
        <v>2.4444444444444446E-2</v>
      </c>
      <c r="I27" s="19" t="s">
        <v>52</v>
      </c>
      <c r="J27" s="79">
        <f t="shared" si="5"/>
        <v>0.12</v>
      </c>
      <c r="L27" s="158">
        <v>0.3</v>
      </c>
      <c r="M27" s="158">
        <v>0.6</v>
      </c>
      <c r="N27" s="156">
        <f t="shared" si="6"/>
        <v>1.44E-4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66.557560975609761</v>
      </c>
      <c r="S27" s="156">
        <f t="shared" si="11"/>
        <v>7.2000000000000002E-5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110.8690909090909</v>
      </c>
      <c r="X27" s="158">
        <v>2</v>
      </c>
      <c r="Y27" s="158">
        <v>2</v>
      </c>
      <c r="Z27" s="151">
        <f t="shared" si="16"/>
        <v>88.713325942350338</v>
      </c>
      <c r="AA27" s="154">
        <f t="shared" si="17"/>
        <v>2.4444444444444446E-2</v>
      </c>
    </row>
    <row r="28" spans="1:27" ht="13.5" x14ac:dyDescent="0.25">
      <c r="A28" s="18">
        <v>20</v>
      </c>
      <c r="B28" s="89">
        <v>1</v>
      </c>
      <c r="C28" s="89">
        <v>1</v>
      </c>
      <c r="D28" s="20" t="str">
        <f t="shared" si="0"/>
        <v>2D</v>
      </c>
      <c r="E28" s="86" t="str">
        <f t="shared" si="1"/>
        <v>N.A.</v>
      </c>
      <c r="F28" s="20">
        <f t="shared" si="2"/>
        <v>1</v>
      </c>
      <c r="G28" s="22">
        <f t="shared" si="3"/>
        <v>1</v>
      </c>
      <c r="H28" s="20">
        <f t="shared" si="4"/>
        <v>2.4444444444444446E-2</v>
      </c>
      <c r="I28" s="19" t="s">
        <v>52</v>
      </c>
      <c r="J28" s="79">
        <f t="shared" si="5"/>
        <v>0.12</v>
      </c>
      <c r="L28" s="158">
        <v>0.3</v>
      </c>
      <c r="M28" s="158">
        <v>0.6</v>
      </c>
      <c r="N28" s="156">
        <f t="shared" si="6"/>
        <v>1.44E-4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66.557560975609761</v>
      </c>
      <c r="S28" s="156">
        <f t="shared" si="11"/>
        <v>7.2000000000000002E-5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110.8690909090909</v>
      </c>
      <c r="X28" s="158">
        <v>2</v>
      </c>
      <c r="Y28" s="158">
        <v>2</v>
      </c>
      <c r="Z28" s="151">
        <f t="shared" si="16"/>
        <v>88.713325942350338</v>
      </c>
      <c r="AA28" s="154">
        <f t="shared" si="17"/>
        <v>2.4444444444444446E-2</v>
      </c>
    </row>
    <row r="29" spans="1:27" ht="13.5" x14ac:dyDescent="0.25">
      <c r="A29" s="18">
        <v>21</v>
      </c>
      <c r="B29" s="89">
        <v>1</v>
      </c>
      <c r="C29" s="89">
        <v>1</v>
      </c>
      <c r="D29" s="20" t="str">
        <f t="shared" si="0"/>
        <v>2D</v>
      </c>
      <c r="E29" s="86" t="str">
        <f t="shared" si="1"/>
        <v>N.A.</v>
      </c>
      <c r="F29" s="20">
        <f t="shared" si="2"/>
        <v>1</v>
      </c>
      <c r="G29" s="22">
        <f t="shared" si="3"/>
        <v>1</v>
      </c>
      <c r="H29" s="20">
        <f t="shared" si="4"/>
        <v>2.4444444444444446E-2</v>
      </c>
      <c r="I29" s="19" t="s">
        <v>52</v>
      </c>
      <c r="J29" s="79">
        <f t="shared" si="5"/>
        <v>0.12</v>
      </c>
      <c r="L29" s="158">
        <v>0.3</v>
      </c>
      <c r="M29" s="158">
        <v>0.6</v>
      </c>
      <c r="N29" s="156">
        <f t="shared" si="6"/>
        <v>1.44E-4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66.557560975609761</v>
      </c>
      <c r="S29" s="156">
        <f t="shared" si="11"/>
        <v>7.2000000000000002E-5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110.8690909090909</v>
      </c>
      <c r="X29" s="158">
        <v>2</v>
      </c>
      <c r="Y29" s="158">
        <v>2</v>
      </c>
      <c r="Z29" s="151">
        <f t="shared" si="16"/>
        <v>88.713325942350338</v>
      </c>
      <c r="AA29" s="154">
        <f t="shared" si="17"/>
        <v>2.4444444444444446E-2</v>
      </c>
    </row>
    <row r="30" spans="1:27" ht="13.5" x14ac:dyDescent="0.25">
      <c r="A30" s="18">
        <v>22</v>
      </c>
      <c r="B30" s="89">
        <v>1</v>
      </c>
      <c r="C30" s="89">
        <v>1</v>
      </c>
      <c r="D30" s="20" t="str">
        <f t="shared" si="0"/>
        <v>2D</v>
      </c>
      <c r="E30" s="86" t="str">
        <f t="shared" si="1"/>
        <v>N.A.</v>
      </c>
      <c r="F30" s="20">
        <f t="shared" si="2"/>
        <v>1</v>
      </c>
      <c r="G30" s="22">
        <f t="shared" si="3"/>
        <v>1</v>
      </c>
      <c r="H30" s="20">
        <f t="shared" si="4"/>
        <v>2.4444444444444446E-2</v>
      </c>
      <c r="I30" s="19" t="s">
        <v>52</v>
      </c>
      <c r="J30" s="79">
        <f t="shared" si="5"/>
        <v>0.12</v>
      </c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ht="13.5" x14ac:dyDescent="0.25">
      <c r="A31" s="18">
        <v>23</v>
      </c>
      <c r="B31" s="89">
        <v>1</v>
      </c>
      <c r="C31" s="89">
        <v>1</v>
      </c>
      <c r="D31" s="20" t="str">
        <f t="shared" si="0"/>
        <v>2D</v>
      </c>
      <c r="E31" s="86" t="str">
        <f t="shared" si="1"/>
        <v>N.A.</v>
      </c>
      <c r="F31" s="20">
        <f t="shared" si="2"/>
        <v>1</v>
      </c>
      <c r="G31" s="22">
        <f t="shared" si="3"/>
        <v>1</v>
      </c>
      <c r="H31" s="20">
        <f t="shared" si="4"/>
        <v>2.4444444444444446E-2</v>
      </c>
      <c r="I31" s="19" t="s">
        <v>52</v>
      </c>
      <c r="J31" s="79">
        <f t="shared" si="5"/>
        <v>0.12</v>
      </c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ht="13.5" x14ac:dyDescent="0.25">
      <c r="A32" s="18">
        <v>24</v>
      </c>
      <c r="B32" s="89">
        <v>1</v>
      </c>
      <c r="C32" s="89">
        <v>1</v>
      </c>
      <c r="D32" s="20" t="str">
        <f t="shared" si="0"/>
        <v>2D</v>
      </c>
      <c r="E32" s="86" t="str">
        <f t="shared" si="1"/>
        <v>N.A.</v>
      </c>
      <c r="F32" s="20">
        <f t="shared" si="2"/>
        <v>1</v>
      </c>
      <c r="G32" s="22">
        <f t="shared" si="3"/>
        <v>1</v>
      </c>
      <c r="H32" s="20">
        <f t="shared" si="4"/>
        <v>2.4444444444444446E-2</v>
      </c>
      <c r="I32" s="19" t="s">
        <v>52</v>
      </c>
      <c r="J32" s="79">
        <f t="shared" si="5"/>
        <v>0.12</v>
      </c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ht="13.5" x14ac:dyDescent="0.25">
      <c r="A33" s="18">
        <v>25</v>
      </c>
      <c r="B33" s="89">
        <v>1</v>
      </c>
      <c r="C33" s="89">
        <v>1</v>
      </c>
      <c r="D33" s="20" t="str">
        <f t="shared" si="0"/>
        <v>2D</v>
      </c>
      <c r="E33" s="86" t="str">
        <f t="shared" si="1"/>
        <v>N.A.</v>
      </c>
      <c r="F33" s="20">
        <f t="shared" si="2"/>
        <v>1</v>
      </c>
      <c r="G33" s="22">
        <f t="shared" si="3"/>
        <v>1</v>
      </c>
      <c r="H33" s="20">
        <f t="shared" si="4"/>
        <v>2.4444444444444446E-2</v>
      </c>
      <c r="I33" s="19" t="s">
        <v>52</v>
      </c>
      <c r="J33" s="79">
        <f t="shared" si="5"/>
        <v>0.12</v>
      </c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ht="13.5" x14ac:dyDescent="0.25">
      <c r="A34" s="18">
        <v>26</v>
      </c>
      <c r="B34" s="89">
        <v>1</v>
      </c>
      <c r="C34" s="89">
        <v>1</v>
      </c>
      <c r="D34" s="20" t="str">
        <f t="shared" si="0"/>
        <v>2D</v>
      </c>
      <c r="E34" s="86" t="str">
        <f t="shared" si="1"/>
        <v>N.A.</v>
      </c>
      <c r="F34" s="20">
        <f t="shared" si="2"/>
        <v>1</v>
      </c>
      <c r="G34" s="22">
        <f t="shared" si="3"/>
        <v>1</v>
      </c>
      <c r="H34" s="20">
        <f t="shared" si="4"/>
        <v>2.4444444444444446E-2</v>
      </c>
      <c r="I34" s="19" t="s">
        <v>52</v>
      </c>
      <c r="J34" s="79">
        <f t="shared" si="5"/>
        <v>0.12</v>
      </c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ht="13.5" x14ac:dyDescent="0.25">
      <c r="A35" s="18">
        <v>27</v>
      </c>
      <c r="B35" s="89">
        <v>1</v>
      </c>
      <c r="C35" s="89">
        <v>1</v>
      </c>
      <c r="D35" s="20" t="str">
        <f t="shared" si="0"/>
        <v>2D</v>
      </c>
      <c r="E35" s="86" t="str">
        <f t="shared" si="1"/>
        <v>N.A.</v>
      </c>
      <c r="F35" s="20">
        <f t="shared" si="2"/>
        <v>1</v>
      </c>
      <c r="G35" s="22">
        <f t="shared" si="3"/>
        <v>1</v>
      </c>
      <c r="H35" s="20">
        <f t="shared" si="4"/>
        <v>2.4444444444444446E-2</v>
      </c>
      <c r="I35" s="19" t="s">
        <v>52</v>
      </c>
      <c r="J35" s="79">
        <f t="shared" si="5"/>
        <v>0.12</v>
      </c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ht="13.5" x14ac:dyDescent="0.25">
      <c r="A36" s="18">
        <v>28</v>
      </c>
      <c r="B36" s="89">
        <v>1</v>
      </c>
      <c r="C36" s="89">
        <v>1</v>
      </c>
      <c r="D36" s="20" t="str">
        <f t="shared" si="0"/>
        <v>2D</v>
      </c>
      <c r="E36" s="86" t="str">
        <f t="shared" si="1"/>
        <v>N.A.</v>
      </c>
      <c r="F36" s="20">
        <f t="shared" si="2"/>
        <v>1</v>
      </c>
      <c r="G36" s="22">
        <f t="shared" si="3"/>
        <v>1</v>
      </c>
      <c r="H36" s="20">
        <f t="shared" si="4"/>
        <v>2.4444444444444446E-2</v>
      </c>
      <c r="I36" s="19" t="s">
        <v>52</v>
      </c>
      <c r="J36" s="79">
        <f t="shared" si="5"/>
        <v>0.12</v>
      </c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ht="13.5" x14ac:dyDescent="0.25">
      <c r="A37" s="18">
        <v>29</v>
      </c>
      <c r="B37" s="89">
        <v>1</v>
      </c>
      <c r="C37" s="89">
        <v>1</v>
      </c>
      <c r="D37" s="20" t="str">
        <f t="shared" si="0"/>
        <v>2D</v>
      </c>
      <c r="E37" s="86" t="str">
        <f t="shared" si="1"/>
        <v>N.A.</v>
      </c>
      <c r="F37" s="20">
        <f t="shared" si="2"/>
        <v>1</v>
      </c>
      <c r="G37" s="22">
        <f t="shared" si="3"/>
        <v>1</v>
      </c>
      <c r="H37" s="20">
        <f t="shared" si="4"/>
        <v>2.4444444444444446E-2</v>
      </c>
      <c r="I37" s="19" t="s">
        <v>52</v>
      </c>
      <c r="J37" s="79">
        <f t="shared" si="5"/>
        <v>0.12</v>
      </c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ht="13.5" x14ac:dyDescent="0.25">
      <c r="A38" s="18">
        <v>30</v>
      </c>
      <c r="B38" s="89">
        <v>1</v>
      </c>
      <c r="C38" s="89">
        <v>1</v>
      </c>
      <c r="D38" s="20" t="str">
        <f t="shared" si="0"/>
        <v>2D</v>
      </c>
      <c r="E38" s="86" t="str">
        <f t="shared" si="1"/>
        <v>N.A.</v>
      </c>
      <c r="F38" s="20">
        <f t="shared" si="2"/>
        <v>1</v>
      </c>
      <c r="G38" s="22">
        <f t="shared" si="3"/>
        <v>1</v>
      </c>
      <c r="H38" s="20">
        <f t="shared" si="4"/>
        <v>2.4444444444444446E-2</v>
      </c>
      <c r="I38" s="19" t="s">
        <v>52</v>
      </c>
      <c r="J38" s="79">
        <f t="shared" si="5"/>
        <v>0.12</v>
      </c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ht="13.5" x14ac:dyDescent="0.25">
      <c r="A39" s="18">
        <v>31</v>
      </c>
      <c r="B39" s="89">
        <v>1</v>
      </c>
      <c r="C39" s="89">
        <v>1</v>
      </c>
      <c r="D39" s="20" t="str">
        <f t="shared" si="0"/>
        <v>2D</v>
      </c>
      <c r="E39" s="86" t="str">
        <f t="shared" si="1"/>
        <v>N.A.</v>
      </c>
      <c r="F39" s="20">
        <f t="shared" si="2"/>
        <v>1</v>
      </c>
      <c r="G39" s="22">
        <f t="shared" si="3"/>
        <v>1</v>
      </c>
      <c r="H39" s="20">
        <f t="shared" si="4"/>
        <v>2.4444444444444446E-2</v>
      </c>
      <c r="I39" s="19" t="s">
        <v>52</v>
      </c>
      <c r="J39" s="79">
        <f t="shared" si="5"/>
        <v>0.12</v>
      </c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ht="13.5" x14ac:dyDescent="0.25">
      <c r="A40" s="18">
        <v>32</v>
      </c>
      <c r="B40" s="89">
        <v>1</v>
      </c>
      <c r="C40" s="89">
        <v>1</v>
      </c>
      <c r="D40" s="20" t="str">
        <f t="shared" si="0"/>
        <v>2D</v>
      </c>
      <c r="E40" s="86" t="str">
        <f t="shared" si="1"/>
        <v>N.A.</v>
      </c>
      <c r="F40" s="20">
        <f t="shared" si="2"/>
        <v>1</v>
      </c>
      <c r="G40" s="22">
        <f t="shared" si="3"/>
        <v>1</v>
      </c>
      <c r="H40" s="20">
        <f t="shared" si="4"/>
        <v>2.4444444444444446E-2</v>
      </c>
      <c r="I40" s="19" t="s">
        <v>52</v>
      </c>
      <c r="J40" s="79">
        <f t="shared" si="5"/>
        <v>0.12</v>
      </c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ht="13.5" x14ac:dyDescent="0.25">
      <c r="A41" s="18">
        <v>33</v>
      </c>
      <c r="B41" s="89">
        <v>1</v>
      </c>
      <c r="C41" s="89">
        <v>1</v>
      </c>
      <c r="D41" s="20" t="str">
        <f t="shared" si="0"/>
        <v>2D</v>
      </c>
      <c r="E41" s="86" t="str">
        <f t="shared" si="1"/>
        <v>N.A.</v>
      </c>
      <c r="F41" s="20">
        <f t="shared" si="2"/>
        <v>1</v>
      </c>
      <c r="G41" s="22">
        <f t="shared" si="3"/>
        <v>1</v>
      </c>
      <c r="H41" s="20">
        <f t="shared" si="4"/>
        <v>2.4444444444444446E-2</v>
      </c>
      <c r="I41" s="19" t="s">
        <v>52</v>
      </c>
      <c r="J41" s="79">
        <f t="shared" si="5"/>
        <v>0.12</v>
      </c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ht="13.5" x14ac:dyDescent="0.25">
      <c r="A42" s="18">
        <v>34</v>
      </c>
      <c r="B42" s="89">
        <v>1</v>
      </c>
      <c r="C42" s="89">
        <v>1</v>
      </c>
      <c r="D42" s="20" t="str">
        <f t="shared" si="0"/>
        <v>2D</v>
      </c>
      <c r="E42" s="86" t="str">
        <f t="shared" si="1"/>
        <v>N.A.</v>
      </c>
      <c r="F42" s="20">
        <f t="shared" si="2"/>
        <v>1</v>
      </c>
      <c r="G42" s="22">
        <f t="shared" si="3"/>
        <v>1</v>
      </c>
      <c r="H42" s="20">
        <f t="shared" si="4"/>
        <v>2.4444444444444446E-2</v>
      </c>
      <c r="I42" s="19" t="s">
        <v>52</v>
      </c>
      <c r="J42" s="79">
        <f t="shared" si="5"/>
        <v>0.12</v>
      </c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ht="13.5" x14ac:dyDescent="0.25">
      <c r="A43" s="18">
        <v>35</v>
      </c>
      <c r="B43" s="89">
        <v>1</v>
      </c>
      <c r="C43" s="89">
        <v>1</v>
      </c>
      <c r="D43" s="20" t="str">
        <f t="shared" si="0"/>
        <v>2D</v>
      </c>
      <c r="E43" s="86" t="str">
        <f t="shared" si="1"/>
        <v>N.A.</v>
      </c>
      <c r="F43" s="20">
        <f t="shared" si="2"/>
        <v>1</v>
      </c>
      <c r="G43" s="22">
        <f t="shared" si="3"/>
        <v>1</v>
      </c>
      <c r="H43" s="20">
        <f t="shared" si="4"/>
        <v>2.4444444444444446E-2</v>
      </c>
      <c r="I43" s="19" t="s">
        <v>52</v>
      </c>
      <c r="J43" s="79">
        <f t="shared" si="5"/>
        <v>0.12</v>
      </c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ht="13.5" x14ac:dyDescent="0.25">
      <c r="A44" s="18">
        <v>36</v>
      </c>
      <c r="B44" s="89">
        <v>1</v>
      </c>
      <c r="C44" s="89">
        <v>1</v>
      </c>
      <c r="D44" s="20" t="str">
        <f t="shared" si="0"/>
        <v>2D</v>
      </c>
      <c r="E44" s="86" t="str">
        <f t="shared" si="1"/>
        <v>N.A.</v>
      </c>
      <c r="F44" s="20">
        <f t="shared" si="2"/>
        <v>1</v>
      </c>
      <c r="G44" s="22">
        <f t="shared" si="3"/>
        <v>1</v>
      </c>
      <c r="H44" s="20">
        <f t="shared" si="4"/>
        <v>2.4444444444444446E-2</v>
      </c>
      <c r="I44" s="19" t="s">
        <v>52</v>
      </c>
      <c r="J44" s="79">
        <f t="shared" si="5"/>
        <v>0.12</v>
      </c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ht="13.5" x14ac:dyDescent="0.25">
      <c r="A45" s="18">
        <v>37</v>
      </c>
      <c r="B45" s="89">
        <v>1</v>
      </c>
      <c r="C45" s="89">
        <v>1</v>
      </c>
      <c r="D45" s="20" t="str">
        <f t="shared" si="0"/>
        <v>2D</v>
      </c>
      <c r="E45" s="86" t="str">
        <f t="shared" si="1"/>
        <v>N.A.</v>
      </c>
      <c r="F45" s="20">
        <f t="shared" si="2"/>
        <v>1</v>
      </c>
      <c r="G45" s="22">
        <f t="shared" si="3"/>
        <v>1</v>
      </c>
      <c r="H45" s="20">
        <f t="shared" si="4"/>
        <v>2.4444444444444446E-2</v>
      </c>
      <c r="I45" s="19" t="s">
        <v>52</v>
      </c>
      <c r="J45" s="79">
        <f t="shared" si="5"/>
        <v>0.12</v>
      </c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ht="13.5" x14ac:dyDescent="0.25">
      <c r="A46" s="18">
        <v>38</v>
      </c>
      <c r="B46" s="89">
        <v>1</v>
      </c>
      <c r="C46" s="89">
        <v>1</v>
      </c>
      <c r="D46" s="20" t="str">
        <f t="shared" si="0"/>
        <v>2D</v>
      </c>
      <c r="E46" s="86" t="str">
        <f t="shared" si="1"/>
        <v>N.A.</v>
      </c>
      <c r="F46" s="20">
        <f t="shared" si="2"/>
        <v>1</v>
      </c>
      <c r="G46" s="22">
        <f t="shared" si="3"/>
        <v>1</v>
      </c>
      <c r="H46" s="20">
        <f t="shared" si="4"/>
        <v>2.4444444444444446E-2</v>
      </c>
      <c r="I46" s="19" t="s">
        <v>52</v>
      </c>
      <c r="J46" s="79">
        <f t="shared" si="5"/>
        <v>0.12</v>
      </c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ht="13.5" x14ac:dyDescent="0.25">
      <c r="A47" s="18">
        <v>39</v>
      </c>
      <c r="B47" s="89">
        <v>1</v>
      </c>
      <c r="C47" s="89">
        <v>1</v>
      </c>
      <c r="D47" s="20" t="str">
        <f t="shared" si="0"/>
        <v>2D</v>
      </c>
      <c r="E47" s="86" t="str">
        <f t="shared" si="1"/>
        <v>N.A.</v>
      </c>
      <c r="F47" s="20">
        <f t="shared" si="2"/>
        <v>1</v>
      </c>
      <c r="G47" s="22">
        <f t="shared" si="3"/>
        <v>1</v>
      </c>
      <c r="H47" s="20">
        <f t="shared" si="4"/>
        <v>2.4444444444444446E-2</v>
      </c>
      <c r="I47" s="19" t="s">
        <v>52</v>
      </c>
      <c r="J47" s="79">
        <f t="shared" si="5"/>
        <v>0.12</v>
      </c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ht="13.5" x14ac:dyDescent="0.25">
      <c r="A48" s="18">
        <v>40</v>
      </c>
      <c r="B48" s="89">
        <v>1</v>
      </c>
      <c r="C48" s="89">
        <v>1</v>
      </c>
      <c r="D48" s="20" t="str">
        <f t="shared" si="0"/>
        <v>2D</v>
      </c>
      <c r="E48" s="86" t="str">
        <f t="shared" si="1"/>
        <v>N.A.</v>
      </c>
      <c r="F48" s="20">
        <f t="shared" si="2"/>
        <v>1</v>
      </c>
      <c r="G48" s="22">
        <f t="shared" si="3"/>
        <v>1</v>
      </c>
      <c r="H48" s="20">
        <f t="shared" si="4"/>
        <v>2.4444444444444446E-2</v>
      </c>
      <c r="I48" s="19" t="s">
        <v>52</v>
      </c>
      <c r="J48" s="79">
        <f t="shared" si="5"/>
        <v>0.12</v>
      </c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ht="13.5" x14ac:dyDescent="0.25">
      <c r="A49" s="18">
        <v>41</v>
      </c>
      <c r="B49" s="89">
        <v>1</v>
      </c>
      <c r="C49" s="89">
        <v>1</v>
      </c>
      <c r="D49" s="20" t="str">
        <f t="shared" si="0"/>
        <v>2D</v>
      </c>
      <c r="E49" s="86" t="str">
        <f t="shared" si="1"/>
        <v>N.A.</v>
      </c>
      <c r="F49" s="20">
        <f t="shared" si="2"/>
        <v>1</v>
      </c>
      <c r="G49" s="22">
        <f t="shared" si="3"/>
        <v>1</v>
      </c>
      <c r="H49" s="20">
        <f t="shared" si="4"/>
        <v>2.4444444444444446E-2</v>
      </c>
      <c r="I49" s="19" t="s">
        <v>52</v>
      </c>
      <c r="J49" s="79">
        <f t="shared" si="5"/>
        <v>0.12</v>
      </c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ht="13.5" x14ac:dyDescent="0.25">
      <c r="A50" s="18">
        <v>42</v>
      </c>
      <c r="B50" s="89">
        <v>1</v>
      </c>
      <c r="C50" s="89">
        <v>1</v>
      </c>
      <c r="D50" s="20" t="str">
        <f t="shared" si="0"/>
        <v>2D</v>
      </c>
      <c r="E50" s="86" t="str">
        <f t="shared" si="1"/>
        <v>N.A.</v>
      </c>
      <c r="F50" s="20">
        <f t="shared" si="2"/>
        <v>1</v>
      </c>
      <c r="G50" s="22">
        <f t="shared" si="3"/>
        <v>1</v>
      </c>
      <c r="H50" s="20">
        <f t="shared" si="4"/>
        <v>2.4444444444444446E-2</v>
      </c>
      <c r="I50" s="19" t="s">
        <v>52</v>
      </c>
      <c r="J50" s="79">
        <f t="shared" si="5"/>
        <v>0.12</v>
      </c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ht="13.5" x14ac:dyDescent="0.25">
      <c r="A51" s="18">
        <v>43</v>
      </c>
      <c r="B51" s="89">
        <v>1</v>
      </c>
      <c r="C51" s="89">
        <v>1</v>
      </c>
      <c r="D51" s="20" t="str">
        <f t="shared" si="0"/>
        <v>2D</v>
      </c>
      <c r="E51" s="86" t="str">
        <f t="shared" si="1"/>
        <v>N.A.</v>
      </c>
      <c r="F51" s="20">
        <f t="shared" si="2"/>
        <v>1</v>
      </c>
      <c r="G51" s="22">
        <f t="shared" si="3"/>
        <v>1</v>
      </c>
      <c r="H51" s="20">
        <f t="shared" si="4"/>
        <v>2.4444444444444446E-2</v>
      </c>
      <c r="I51" s="19" t="s">
        <v>52</v>
      </c>
      <c r="J51" s="79">
        <f t="shared" si="5"/>
        <v>0.12</v>
      </c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ht="13.5" x14ac:dyDescent="0.25">
      <c r="A52" s="18">
        <v>44</v>
      </c>
      <c r="B52" s="89">
        <v>1</v>
      </c>
      <c r="C52" s="89">
        <v>1</v>
      </c>
      <c r="D52" s="20" t="str">
        <f t="shared" si="0"/>
        <v>2D</v>
      </c>
      <c r="E52" s="86" t="str">
        <f t="shared" si="1"/>
        <v>N.A.</v>
      </c>
      <c r="F52" s="20">
        <f t="shared" si="2"/>
        <v>1</v>
      </c>
      <c r="G52" s="22">
        <f t="shared" si="3"/>
        <v>1</v>
      </c>
      <c r="H52" s="20">
        <f t="shared" si="4"/>
        <v>2.4444444444444446E-2</v>
      </c>
      <c r="I52" s="19" t="s">
        <v>52</v>
      </c>
      <c r="J52" s="79">
        <f t="shared" si="5"/>
        <v>0.12</v>
      </c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ht="13.5" x14ac:dyDescent="0.25">
      <c r="A53" s="18">
        <v>45</v>
      </c>
      <c r="B53" s="89">
        <v>1</v>
      </c>
      <c r="C53" s="89">
        <v>1</v>
      </c>
      <c r="D53" s="20" t="str">
        <f t="shared" si="0"/>
        <v>2D</v>
      </c>
      <c r="E53" s="86" t="str">
        <f t="shared" si="1"/>
        <v>N.A.</v>
      </c>
      <c r="F53" s="20">
        <f t="shared" si="2"/>
        <v>1</v>
      </c>
      <c r="G53" s="22">
        <f t="shared" si="3"/>
        <v>1</v>
      </c>
      <c r="H53" s="20">
        <f t="shared" si="4"/>
        <v>2.4444444444444446E-2</v>
      </c>
      <c r="I53" s="19" t="s">
        <v>52</v>
      </c>
      <c r="J53" s="79">
        <f t="shared" si="5"/>
        <v>0.12</v>
      </c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ht="13.5" x14ac:dyDescent="0.25">
      <c r="A54" s="18">
        <v>46</v>
      </c>
      <c r="B54" s="89">
        <v>1</v>
      </c>
      <c r="C54" s="89">
        <v>1</v>
      </c>
      <c r="D54" s="20" t="str">
        <f t="shared" si="0"/>
        <v>2D</v>
      </c>
      <c r="E54" s="86" t="str">
        <f t="shared" si="1"/>
        <v>N.A.</v>
      </c>
      <c r="F54" s="20">
        <f t="shared" si="2"/>
        <v>1</v>
      </c>
      <c r="G54" s="22">
        <f t="shared" si="3"/>
        <v>1</v>
      </c>
      <c r="H54" s="20">
        <f t="shared" si="4"/>
        <v>2.4444444444444446E-2</v>
      </c>
      <c r="I54" s="19" t="s">
        <v>52</v>
      </c>
      <c r="J54" s="79">
        <f t="shared" si="5"/>
        <v>0.12</v>
      </c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ht="13.5" x14ac:dyDescent="0.25">
      <c r="A55" s="18">
        <v>47</v>
      </c>
      <c r="B55" s="89">
        <v>1</v>
      </c>
      <c r="C55" s="89">
        <v>1</v>
      </c>
      <c r="D55" s="20" t="str">
        <f t="shared" si="0"/>
        <v>2D</v>
      </c>
      <c r="E55" s="86" t="str">
        <f t="shared" si="1"/>
        <v>N.A.</v>
      </c>
      <c r="F55" s="20">
        <f t="shared" si="2"/>
        <v>1</v>
      </c>
      <c r="G55" s="22">
        <f t="shared" si="3"/>
        <v>1</v>
      </c>
      <c r="H55" s="20">
        <f t="shared" si="4"/>
        <v>2.4444444444444446E-2</v>
      </c>
      <c r="I55" s="19" t="s">
        <v>52</v>
      </c>
      <c r="J55" s="79">
        <f t="shared" si="5"/>
        <v>0.12</v>
      </c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ht="13.5" x14ac:dyDescent="0.25">
      <c r="A56" s="18">
        <v>48</v>
      </c>
      <c r="B56" s="89">
        <v>1</v>
      </c>
      <c r="C56" s="89">
        <v>1</v>
      </c>
      <c r="D56" s="20" t="str">
        <f t="shared" si="0"/>
        <v>2D</v>
      </c>
      <c r="E56" s="86" t="str">
        <f t="shared" si="1"/>
        <v>N.A.</v>
      </c>
      <c r="F56" s="20">
        <f t="shared" si="2"/>
        <v>1</v>
      </c>
      <c r="G56" s="22">
        <f t="shared" si="3"/>
        <v>1</v>
      </c>
      <c r="H56" s="20">
        <f t="shared" si="4"/>
        <v>2.4444444444444446E-2</v>
      </c>
      <c r="I56" s="19" t="s">
        <v>52</v>
      </c>
      <c r="J56" s="79">
        <f t="shared" si="5"/>
        <v>0.12</v>
      </c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ht="13.5" x14ac:dyDescent="0.25">
      <c r="A57" s="18">
        <v>49</v>
      </c>
      <c r="B57" s="89">
        <v>1</v>
      </c>
      <c r="C57" s="89">
        <v>1</v>
      </c>
      <c r="D57" s="20" t="str">
        <f t="shared" si="0"/>
        <v>2D</v>
      </c>
      <c r="E57" s="86" t="str">
        <f t="shared" si="1"/>
        <v>N.A.</v>
      </c>
      <c r="F57" s="20">
        <f t="shared" si="2"/>
        <v>1</v>
      </c>
      <c r="G57" s="22">
        <f t="shared" si="3"/>
        <v>1</v>
      </c>
      <c r="H57" s="20">
        <f t="shared" si="4"/>
        <v>2.4444444444444446E-2</v>
      </c>
      <c r="I57" s="19" t="s">
        <v>52</v>
      </c>
      <c r="J57" s="79">
        <f t="shared" si="5"/>
        <v>0.12</v>
      </c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ht="13.5" x14ac:dyDescent="0.25">
      <c r="A58" s="18">
        <v>50</v>
      </c>
      <c r="B58" s="89">
        <v>1</v>
      </c>
      <c r="C58" s="89">
        <v>1</v>
      </c>
      <c r="D58" s="20" t="str">
        <f t="shared" si="0"/>
        <v>2D</v>
      </c>
      <c r="E58" s="86" t="str">
        <f t="shared" si="1"/>
        <v>N.A.</v>
      </c>
      <c r="F58" s="20">
        <f t="shared" si="2"/>
        <v>1</v>
      </c>
      <c r="G58" s="22">
        <f t="shared" si="3"/>
        <v>1</v>
      </c>
      <c r="H58" s="20">
        <f t="shared" si="4"/>
        <v>2.4444444444444446E-2</v>
      </c>
      <c r="I58" s="19" t="s">
        <v>52</v>
      </c>
      <c r="J58" s="79">
        <f t="shared" si="5"/>
        <v>0.12</v>
      </c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mergeCells count="11">
    <mergeCell ref="B2:D2"/>
    <mergeCell ref="E2:F2"/>
    <mergeCell ref="G2:I2"/>
    <mergeCell ref="B3:D3"/>
    <mergeCell ref="E3:F3"/>
    <mergeCell ref="G3:I3"/>
    <mergeCell ref="N7:R7"/>
    <mergeCell ref="S7:W7"/>
    <mergeCell ref="J3:J4"/>
    <mergeCell ref="F4:I4"/>
    <mergeCell ref="H8:J8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91B2-C124-4DDE-9138-760B87C0E256}">
  <sheetPr codeName="Hoja25"/>
  <dimension ref="A1:AC58"/>
  <sheetViews>
    <sheetView zoomScaleNormal="100" workbookViewId="0">
      <selection activeCell="AB1" sqref="AB1:AC65536"/>
    </sheetView>
  </sheetViews>
  <sheetFormatPr defaultColWidth="8.85546875" defaultRowHeight="12.75" x14ac:dyDescent="0.2"/>
  <cols>
    <col min="1" max="1" width="14.85546875" customWidth="1"/>
    <col min="2" max="8" width="8.42578125" customWidth="1"/>
    <col min="9" max="9" width="8.42578125" bestFit="1" customWidth="1"/>
    <col min="10" max="11" width="9.140625" customWidth="1"/>
    <col min="12" max="13" width="5.7109375" bestFit="1" customWidth="1"/>
    <col min="14" max="14" width="8.42578125" bestFit="1" customWidth="1"/>
    <col min="15" max="15" width="4.7109375" bestFit="1" customWidth="1"/>
    <col min="16" max="16" width="4.7109375" hidden="1" customWidth="1"/>
    <col min="17" max="17" width="8.42578125" bestFit="1" customWidth="1"/>
    <col min="18" max="18" width="5.7109375" bestFit="1" customWidth="1"/>
    <col min="19" max="19" width="8.42578125" bestFit="1" customWidth="1"/>
    <col min="20" max="20" width="4.7109375" bestFit="1" customWidth="1"/>
    <col min="21" max="21" width="6" hidden="1" customWidth="1"/>
    <col min="22" max="22" width="8.42578125" bestFit="1" customWidth="1"/>
    <col min="23" max="23" width="6.7109375" bestFit="1" customWidth="1"/>
    <col min="24" max="26" width="5.7109375" bestFit="1" customWidth="1"/>
    <col min="27" max="27" width="6" bestFit="1" customWidth="1"/>
    <col min="28" max="29" width="0" hidden="1" customWidth="1"/>
  </cols>
  <sheetData>
    <row r="1" spans="1:29" ht="14.25" thickBot="1" x14ac:dyDescent="0.3">
      <c r="A1" s="1"/>
      <c r="B1" s="1"/>
      <c r="C1" s="1"/>
      <c r="D1" s="1"/>
      <c r="E1" s="1"/>
      <c r="F1" s="1"/>
      <c r="G1" s="1"/>
      <c r="H1" s="1"/>
      <c r="AB1" t="str">
        <f t="array" aca="1" ref="AB1" ca="1">_xlfn.TEXTAFTER(CELL("filename",S2),"]")</f>
        <v>Espesor E5</v>
      </c>
    </row>
    <row r="2" spans="1:29" ht="18" customHeight="1" x14ac:dyDescent="0.25">
      <c r="A2" s="57"/>
      <c r="B2" s="214" t="str">
        <f>'Espesor Earlette'!B2:D2</f>
        <v>INGENIERO DEMO</v>
      </c>
      <c r="C2" s="214"/>
      <c r="D2" s="215"/>
      <c r="E2" s="216" t="s">
        <v>0</v>
      </c>
      <c r="F2" s="217"/>
      <c r="G2" s="218" t="str">
        <f>'Espesor Earlette'!G2:I2</f>
        <v>Proyecto Demo</v>
      </c>
      <c r="H2" s="218"/>
      <c r="I2" s="219"/>
      <c r="J2" s="8" t="s">
        <v>1</v>
      </c>
      <c r="AB2" t="str">
        <f ca="1">_xlfn.TEXTAFTER(AB1,"Espesor")</f>
        <v xml:space="preserve"> E5</v>
      </c>
      <c r="AC2" t="str">
        <f ca="1">_xlfn.CONCAT(AB2," ","/")</f>
        <v xml:space="preserve"> E5 /</v>
      </c>
    </row>
    <row r="3" spans="1:29" ht="18" customHeight="1" x14ac:dyDescent="0.25">
      <c r="A3" s="58"/>
      <c r="B3" s="210" t="str">
        <f>'Espesor Earlette'!B3</f>
        <v>INGENIERO CIVIL</v>
      </c>
      <c r="C3" s="211"/>
      <c r="D3" s="212"/>
      <c r="E3" s="200" t="s">
        <v>3</v>
      </c>
      <c r="F3" s="201"/>
      <c r="G3" s="220">
        <f>'Espesor Earlette'!G3:I3</f>
        <v>45904</v>
      </c>
      <c r="H3" s="221"/>
      <c r="I3" s="222"/>
      <c r="J3" s="202">
        <v>1</v>
      </c>
    </row>
    <row r="4" spans="1:29" ht="18" customHeight="1" thickBot="1" x14ac:dyDescent="0.3">
      <c r="A4" s="59"/>
      <c r="B4" s="56" t="s">
        <v>102</v>
      </c>
      <c r="C4" s="53">
        <f>'Espesor Earlette'!C4</f>
        <v>0</v>
      </c>
      <c r="D4" s="54"/>
      <c r="E4" s="12" t="s">
        <v>4</v>
      </c>
      <c r="F4" s="223" t="str">
        <f ca="1">_xlfn.CONCAT("Espesor"," ","de"," ","Losas"," ",AB2)</f>
        <v>Espesor de Losas  E5</v>
      </c>
      <c r="G4" s="224"/>
      <c r="H4" s="224"/>
      <c r="I4" s="225"/>
      <c r="J4" s="203"/>
    </row>
    <row r="5" spans="1:29" x14ac:dyDescent="0.2">
      <c r="A5" s="3"/>
      <c r="E5" s="3"/>
      <c r="F5" s="3"/>
      <c r="G5" s="3"/>
      <c r="H5" s="3"/>
      <c r="I5" s="3"/>
      <c r="J5" s="3"/>
    </row>
    <row r="6" spans="1:29" ht="13.5" x14ac:dyDescent="0.25">
      <c r="A6" s="4" t="s">
        <v>53</v>
      </c>
      <c r="B6" s="13">
        <f>IF(COUNTIFS(C9:C58,"&lt;&gt;1", B9:B58,"&lt;&gt;1")=0, 50, COUNTIFS(C9:C58,"&lt;&gt;1", B9:B58,"&lt;&gt;1"))</f>
        <v>50</v>
      </c>
      <c r="C6" s="4" t="s">
        <v>42</v>
      </c>
      <c r="D6" s="5">
        <v>4200</v>
      </c>
      <c r="E6" s="3" t="s">
        <v>43</v>
      </c>
      <c r="H6" s="3"/>
      <c r="I6" s="3"/>
      <c r="J6" s="3"/>
    </row>
    <row r="7" spans="1:29" ht="13.5" thickBot="1" x14ac:dyDescent="0.25">
      <c r="C7" s="3"/>
      <c r="D7" s="3"/>
      <c r="E7" s="3"/>
      <c r="F7" s="3"/>
      <c r="G7" s="3"/>
      <c r="H7" s="3"/>
      <c r="I7" s="3"/>
      <c r="J7" s="3"/>
      <c r="L7" s="153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  <c r="X7" s="6"/>
      <c r="Y7" s="6"/>
      <c r="Z7" s="6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21" t="s">
        <v>50</v>
      </c>
      <c r="H8" s="188" t="s">
        <v>51</v>
      </c>
      <c r="I8" s="188"/>
      <c r="J8" s="213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8">
        <v>1</v>
      </c>
      <c r="B9" s="89">
        <v>1</v>
      </c>
      <c r="C9" s="89">
        <v>1</v>
      </c>
      <c r="D9" s="20" t="str">
        <f>IF((MAX(B9:C9)/MIN(B9:C9))&gt;2,"1D","2D")</f>
        <v>2D</v>
      </c>
      <c r="E9" s="86" t="str">
        <f>IF(D9="2D","N.A.",10)</f>
        <v>N.A.</v>
      </c>
      <c r="F9" s="20">
        <f>IF(D9="1D",MIN(B9:C9),MAX(B9:C9))</f>
        <v>1</v>
      </c>
      <c r="G9" s="22">
        <f>MAX(B9:C9)/MIN(B9:C9)</f>
        <v>1</v>
      </c>
      <c r="H9" s="20">
        <f>IF(D9="2d",(F9*(0.8+($D$6/14000)))/(36+9*G9),F9/E9)</f>
        <v>2.4444444444444446E-2</v>
      </c>
      <c r="I9" s="19" t="s">
        <v>52</v>
      </c>
      <c r="J9" s="79">
        <f>MAX(0.12,ROUND(H9,2))</f>
        <v>0.12</v>
      </c>
      <c r="L9" s="158">
        <v>0.3</v>
      </c>
      <c r="M9" s="158">
        <v>0.6</v>
      </c>
      <c r="N9" s="156">
        <f>+F9*J9*J9*J9/12</f>
        <v>1.44E-4</v>
      </c>
      <c r="O9" s="151">
        <f>+IF(4*J9&gt;=M9-J9,M9-J9,4*J9)*2+L9</f>
        <v>1.26</v>
      </c>
      <c r="P9" s="151">
        <f>+M9-(0.5*(((O9-L9)*J9*J9)+L9*M9*M9)/((O9-L9)*J9+L9*M9))</f>
        <v>0.39365853658536587</v>
      </c>
      <c r="Q9" s="156">
        <f>+(O9-L9)*J9*J9*J9/12+L9*M9*M9*M9/12+(O9-L9)*J9*POWER(M9-J9*0.5-P9,2)+L9*M9*POWER(P9-0.5*M9,2)</f>
        <v>9.5842887804878062E-3</v>
      </c>
      <c r="R9" s="152">
        <f>+Q9/N9</f>
        <v>66.557560975609761</v>
      </c>
      <c r="S9" s="156">
        <f>+F9*J9*J9*J9*0.5/12</f>
        <v>7.2000000000000002E-5</v>
      </c>
      <c r="T9" s="155">
        <f>+IF(4*J9&gt;=M9-J9,M9-J9,4*J9)+L9</f>
        <v>0.78</v>
      </c>
      <c r="U9" s="154">
        <f>+M9-(0.5*(((T9-L9)*J9*J9)+L9*M9*M9)/((T9-L9)*J9+L9*M9))</f>
        <v>0.35818181818181816</v>
      </c>
      <c r="V9" s="156">
        <f>+(T9-L9)*J9*J9*J9/12+L9*M9*M9*M9/12+(T9-L9)*J9*POWER(M9-J9*0.5-U9,2)+L9*M9*POWER(U9-0.5*M9,2)</f>
        <v>7.9825745454545453E-3</v>
      </c>
      <c r="W9" s="152">
        <f>+V9/S9</f>
        <v>110.8690909090909</v>
      </c>
      <c r="X9" s="158">
        <v>2</v>
      </c>
      <c r="Y9" s="158">
        <v>2</v>
      </c>
      <c r="Z9" s="151">
        <f>+(X9*R9+Y9*W9)/4</f>
        <v>88.713325942350338</v>
      </c>
      <c r="AA9" s="154">
        <f>+(F9*(0.8+($D$6/14000)))/(36+5*((IF(Z9&gt;2,2,Z9))-0.2)*G9)</f>
        <v>2.4444444444444446E-2</v>
      </c>
    </row>
    <row r="10" spans="1:29" ht="13.5" x14ac:dyDescent="0.25">
      <c r="A10" s="18">
        <v>2</v>
      </c>
      <c r="B10" s="89">
        <v>1</v>
      </c>
      <c r="C10" s="89">
        <v>1</v>
      </c>
      <c r="D10" s="20" t="str">
        <f t="shared" ref="D10:D58" si="0">IF((MAX(B10:C10)/MIN(B10:C10))&gt;2,"1D","2D")</f>
        <v>2D</v>
      </c>
      <c r="E10" s="86" t="str">
        <f t="shared" ref="E10:E58" si="1">IF(D10="2D","N.A.",10)</f>
        <v>N.A.</v>
      </c>
      <c r="F10" s="20">
        <f t="shared" ref="F10:F58" si="2">IF(D10="1D",MIN(B10:C10),MAX(B10:C10))</f>
        <v>1</v>
      </c>
      <c r="G10" s="22">
        <f t="shared" ref="G10:G58" si="3">MAX(B10:C10)/MIN(B10:C10)</f>
        <v>1</v>
      </c>
      <c r="H10" s="20">
        <f t="shared" ref="H10:H58" si="4">IF(D10="2d",(F10*(0.8+($D$6/14000)))/(36+9*G10),F10/E10)</f>
        <v>2.4444444444444446E-2</v>
      </c>
      <c r="I10" s="19" t="s">
        <v>52</v>
      </c>
      <c r="J10" s="79">
        <f t="shared" ref="J10:J58" si="5">MAX(0.12,ROUND(H10,2))</f>
        <v>0.12</v>
      </c>
      <c r="L10" s="158">
        <v>0.3</v>
      </c>
      <c r="M10" s="158">
        <v>0.6</v>
      </c>
      <c r="N10" s="156">
        <f t="shared" ref="N10:N58" si="6">+F10*J10*J10*J10/12</f>
        <v>1.44E-4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66.557560975609761</v>
      </c>
      <c r="S10" s="156">
        <f t="shared" ref="S10:S58" si="11">+F10*J10*J10*J10*0.5/12</f>
        <v>7.2000000000000002E-5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110.8690909090909</v>
      </c>
      <c r="X10" s="158">
        <v>2</v>
      </c>
      <c r="Y10" s="158">
        <v>2</v>
      </c>
      <c r="Z10" s="151">
        <f t="shared" ref="Z10:Z58" si="16">+(X10*R10+Y10*W10)/4</f>
        <v>88.713325942350338</v>
      </c>
      <c r="AA10" s="154">
        <f t="shared" ref="AA10:AA58" si="17">+(F10*(0.8+($D$6/14000)))/(36+5*((IF(Z10&gt;2,2,Z10))-0.2)*G10)</f>
        <v>2.4444444444444446E-2</v>
      </c>
    </row>
    <row r="11" spans="1:29" ht="13.5" x14ac:dyDescent="0.25">
      <c r="A11" s="18">
        <v>3</v>
      </c>
      <c r="B11" s="89">
        <v>1</v>
      </c>
      <c r="C11" s="89">
        <v>1</v>
      </c>
      <c r="D11" s="20" t="str">
        <f t="shared" si="0"/>
        <v>2D</v>
      </c>
      <c r="E11" s="86" t="str">
        <f t="shared" si="1"/>
        <v>N.A.</v>
      </c>
      <c r="F11" s="20">
        <f t="shared" si="2"/>
        <v>1</v>
      </c>
      <c r="G11" s="22">
        <f t="shared" si="3"/>
        <v>1</v>
      </c>
      <c r="H11" s="20">
        <f t="shared" si="4"/>
        <v>2.4444444444444446E-2</v>
      </c>
      <c r="I11" s="19" t="s">
        <v>52</v>
      </c>
      <c r="J11" s="79">
        <f t="shared" si="5"/>
        <v>0.12</v>
      </c>
      <c r="L11" s="158">
        <v>0.3</v>
      </c>
      <c r="M11" s="158">
        <v>0.6</v>
      </c>
      <c r="N11" s="156">
        <f t="shared" si="6"/>
        <v>1.44E-4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66.557560975609761</v>
      </c>
      <c r="S11" s="156">
        <f t="shared" si="11"/>
        <v>7.2000000000000002E-5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110.8690909090909</v>
      </c>
      <c r="X11" s="158">
        <v>2</v>
      </c>
      <c r="Y11" s="158">
        <v>2</v>
      </c>
      <c r="Z11" s="151">
        <f t="shared" si="16"/>
        <v>88.713325942350338</v>
      </c>
      <c r="AA11" s="154">
        <f t="shared" si="17"/>
        <v>2.4444444444444446E-2</v>
      </c>
    </row>
    <row r="12" spans="1:29" ht="13.5" x14ac:dyDescent="0.25">
      <c r="A12" s="18">
        <v>4</v>
      </c>
      <c r="B12" s="89">
        <v>1</v>
      </c>
      <c r="C12" s="89">
        <v>1</v>
      </c>
      <c r="D12" s="20" t="str">
        <f t="shared" si="0"/>
        <v>2D</v>
      </c>
      <c r="E12" s="86" t="str">
        <f t="shared" si="1"/>
        <v>N.A.</v>
      </c>
      <c r="F12" s="20">
        <f t="shared" si="2"/>
        <v>1</v>
      </c>
      <c r="G12" s="22">
        <f t="shared" si="3"/>
        <v>1</v>
      </c>
      <c r="H12" s="20">
        <f t="shared" si="4"/>
        <v>2.4444444444444446E-2</v>
      </c>
      <c r="I12" s="19" t="s">
        <v>52</v>
      </c>
      <c r="J12" s="79">
        <f t="shared" si="5"/>
        <v>0.12</v>
      </c>
      <c r="L12" s="158">
        <v>0.3</v>
      </c>
      <c r="M12" s="158">
        <v>0.6</v>
      </c>
      <c r="N12" s="156">
        <f t="shared" si="6"/>
        <v>1.44E-4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66.557560975609761</v>
      </c>
      <c r="S12" s="156">
        <f t="shared" si="11"/>
        <v>7.2000000000000002E-5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110.8690909090909</v>
      </c>
      <c r="X12" s="158">
        <v>2</v>
      </c>
      <c r="Y12" s="158">
        <v>2</v>
      </c>
      <c r="Z12" s="151">
        <f t="shared" si="16"/>
        <v>88.713325942350338</v>
      </c>
      <c r="AA12" s="154">
        <f t="shared" si="17"/>
        <v>2.4444444444444446E-2</v>
      </c>
    </row>
    <row r="13" spans="1:29" ht="13.5" x14ac:dyDescent="0.25">
      <c r="A13" s="18">
        <v>5</v>
      </c>
      <c r="B13" s="89">
        <v>1</v>
      </c>
      <c r="C13" s="89">
        <v>1</v>
      </c>
      <c r="D13" s="20" t="str">
        <f t="shared" si="0"/>
        <v>2D</v>
      </c>
      <c r="E13" s="86" t="str">
        <f t="shared" si="1"/>
        <v>N.A.</v>
      </c>
      <c r="F13" s="20">
        <f t="shared" si="2"/>
        <v>1</v>
      </c>
      <c r="G13" s="22">
        <f t="shared" si="3"/>
        <v>1</v>
      </c>
      <c r="H13" s="20">
        <f t="shared" si="4"/>
        <v>2.4444444444444446E-2</v>
      </c>
      <c r="I13" s="19" t="s">
        <v>52</v>
      </c>
      <c r="J13" s="79">
        <f t="shared" si="5"/>
        <v>0.12</v>
      </c>
      <c r="L13" s="158">
        <v>0.3</v>
      </c>
      <c r="M13" s="158">
        <v>0.6</v>
      </c>
      <c r="N13" s="156">
        <f t="shared" si="6"/>
        <v>1.44E-4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66.557560975609761</v>
      </c>
      <c r="S13" s="156">
        <f t="shared" si="11"/>
        <v>7.2000000000000002E-5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110.8690909090909</v>
      </c>
      <c r="X13" s="158">
        <v>2</v>
      </c>
      <c r="Y13" s="158">
        <v>2</v>
      </c>
      <c r="Z13" s="151">
        <f t="shared" si="16"/>
        <v>88.713325942350338</v>
      </c>
      <c r="AA13" s="154">
        <f t="shared" si="17"/>
        <v>2.4444444444444446E-2</v>
      </c>
    </row>
    <row r="14" spans="1:29" ht="13.5" x14ac:dyDescent="0.25">
      <c r="A14" s="18">
        <v>6</v>
      </c>
      <c r="B14" s="89">
        <v>1</v>
      </c>
      <c r="C14" s="89">
        <v>1</v>
      </c>
      <c r="D14" s="20" t="str">
        <f t="shared" si="0"/>
        <v>2D</v>
      </c>
      <c r="E14" s="86" t="str">
        <f t="shared" si="1"/>
        <v>N.A.</v>
      </c>
      <c r="F14" s="20">
        <f t="shared" si="2"/>
        <v>1</v>
      </c>
      <c r="G14" s="22">
        <f t="shared" si="3"/>
        <v>1</v>
      </c>
      <c r="H14" s="20">
        <f t="shared" si="4"/>
        <v>2.4444444444444446E-2</v>
      </c>
      <c r="I14" s="19" t="s">
        <v>52</v>
      </c>
      <c r="J14" s="79">
        <f t="shared" si="5"/>
        <v>0.12</v>
      </c>
      <c r="L14" s="158">
        <v>0.3</v>
      </c>
      <c r="M14" s="158">
        <v>0.6</v>
      </c>
      <c r="N14" s="156">
        <f t="shared" si="6"/>
        <v>1.44E-4</v>
      </c>
      <c r="O14" s="151">
        <f t="shared" si="7"/>
        <v>1.26</v>
      </c>
      <c r="P14" s="151">
        <f t="shared" si="8"/>
        <v>0.39365853658536587</v>
      </c>
      <c r="Q14" s="156">
        <f t="shared" si="9"/>
        <v>9.5842887804878062E-3</v>
      </c>
      <c r="R14" s="152">
        <f t="shared" si="10"/>
        <v>66.557560975609761</v>
      </c>
      <c r="S14" s="156">
        <f t="shared" si="11"/>
        <v>7.2000000000000002E-5</v>
      </c>
      <c r="T14" s="155">
        <f t="shared" si="12"/>
        <v>0.78</v>
      </c>
      <c r="U14" s="154">
        <f t="shared" si="13"/>
        <v>0.35818181818181816</v>
      </c>
      <c r="V14" s="156">
        <f t="shared" si="14"/>
        <v>7.9825745454545453E-3</v>
      </c>
      <c r="W14" s="152">
        <f t="shared" si="15"/>
        <v>110.8690909090909</v>
      </c>
      <c r="X14" s="158">
        <v>2</v>
      </c>
      <c r="Y14" s="158">
        <v>2</v>
      </c>
      <c r="Z14" s="151">
        <f t="shared" si="16"/>
        <v>88.713325942350338</v>
      </c>
      <c r="AA14" s="154">
        <f t="shared" si="17"/>
        <v>2.4444444444444446E-2</v>
      </c>
    </row>
    <row r="15" spans="1:29" ht="13.5" x14ac:dyDescent="0.25">
      <c r="A15" s="18">
        <v>7</v>
      </c>
      <c r="B15" s="89">
        <v>1</v>
      </c>
      <c r="C15" s="89">
        <v>1</v>
      </c>
      <c r="D15" s="20" t="str">
        <f t="shared" si="0"/>
        <v>2D</v>
      </c>
      <c r="E15" s="86" t="str">
        <f t="shared" si="1"/>
        <v>N.A.</v>
      </c>
      <c r="F15" s="20">
        <f t="shared" si="2"/>
        <v>1</v>
      </c>
      <c r="G15" s="22">
        <f t="shared" si="3"/>
        <v>1</v>
      </c>
      <c r="H15" s="20">
        <f t="shared" si="4"/>
        <v>2.4444444444444446E-2</v>
      </c>
      <c r="I15" s="19" t="s">
        <v>52</v>
      </c>
      <c r="J15" s="79">
        <f t="shared" si="5"/>
        <v>0.12</v>
      </c>
      <c r="L15" s="158">
        <v>0.3</v>
      </c>
      <c r="M15" s="158">
        <v>0.6</v>
      </c>
      <c r="N15" s="156">
        <f t="shared" si="6"/>
        <v>1.44E-4</v>
      </c>
      <c r="O15" s="151">
        <f t="shared" si="7"/>
        <v>1.26</v>
      </c>
      <c r="P15" s="151">
        <f t="shared" si="8"/>
        <v>0.39365853658536587</v>
      </c>
      <c r="Q15" s="156">
        <f t="shared" si="9"/>
        <v>9.5842887804878062E-3</v>
      </c>
      <c r="R15" s="152">
        <f t="shared" si="10"/>
        <v>66.557560975609761</v>
      </c>
      <c r="S15" s="156">
        <f t="shared" si="11"/>
        <v>7.2000000000000002E-5</v>
      </c>
      <c r="T15" s="155">
        <f t="shared" si="12"/>
        <v>0.78</v>
      </c>
      <c r="U15" s="154">
        <f t="shared" si="13"/>
        <v>0.35818181818181816</v>
      </c>
      <c r="V15" s="156">
        <f t="shared" si="14"/>
        <v>7.9825745454545453E-3</v>
      </c>
      <c r="W15" s="152">
        <f t="shared" si="15"/>
        <v>110.8690909090909</v>
      </c>
      <c r="X15" s="158">
        <v>2</v>
      </c>
      <c r="Y15" s="158">
        <v>2</v>
      </c>
      <c r="Z15" s="151">
        <f t="shared" si="16"/>
        <v>88.713325942350338</v>
      </c>
      <c r="AA15" s="154">
        <f t="shared" si="17"/>
        <v>2.4444444444444446E-2</v>
      </c>
    </row>
    <row r="16" spans="1:29" ht="13.5" x14ac:dyDescent="0.25">
      <c r="A16" s="18">
        <v>8</v>
      </c>
      <c r="B16" s="89">
        <v>1</v>
      </c>
      <c r="C16" s="89">
        <v>1</v>
      </c>
      <c r="D16" s="20" t="str">
        <f t="shared" si="0"/>
        <v>2D</v>
      </c>
      <c r="E16" s="86" t="str">
        <f t="shared" si="1"/>
        <v>N.A.</v>
      </c>
      <c r="F16" s="20">
        <f t="shared" si="2"/>
        <v>1</v>
      </c>
      <c r="G16" s="22">
        <f t="shared" si="3"/>
        <v>1</v>
      </c>
      <c r="H16" s="20">
        <f t="shared" si="4"/>
        <v>2.4444444444444446E-2</v>
      </c>
      <c r="I16" s="19" t="s">
        <v>52</v>
      </c>
      <c r="J16" s="79">
        <f t="shared" si="5"/>
        <v>0.12</v>
      </c>
      <c r="L16" s="158">
        <v>0.3</v>
      </c>
      <c r="M16" s="158">
        <v>0.6</v>
      </c>
      <c r="N16" s="156">
        <f t="shared" si="6"/>
        <v>1.44E-4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66.557560975609761</v>
      </c>
      <c r="S16" s="156">
        <f t="shared" si="11"/>
        <v>7.2000000000000002E-5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110.8690909090909</v>
      </c>
      <c r="X16" s="158">
        <v>2</v>
      </c>
      <c r="Y16" s="158">
        <v>2</v>
      </c>
      <c r="Z16" s="151">
        <f t="shared" si="16"/>
        <v>88.713325942350338</v>
      </c>
      <c r="AA16" s="154">
        <f t="shared" si="17"/>
        <v>2.4444444444444446E-2</v>
      </c>
    </row>
    <row r="17" spans="1:27" ht="13.5" x14ac:dyDescent="0.25">
      <c r="A17" s="18">
        <v>9</v>
      </c>
      <c r="B17" s="89">
        <v>1</v>
      </c>
      <c r="C17" s="89">
        <v>1</v>
      </c>
      <c r="D17" s="20" t="str">
        <f t="shared" si="0"/>
        <v>2D</v>
      </c>
      <c r="E17" s="86" t="str">
        <f t="shared" si="1"/>
        <v>N.A.</v>
      </c>
      <c r="F17" s="20">
        <f t="shared" si="2"/>
        <v>1</v>
      </c>
      <c r="G17" s="22">
        <f t="shared" si="3"/>
        <v>1</v>
      </c>
      <c r="H17" s="20">
        <f t="shared" si="4"/>
        <v>2.4444444444444446E-2</v>
      </c>
      <c r="I17" s="19" t="s">
        <v>52</v>
      </c>
      <c r="J17" s="79">
        <f t="shared" si="5"/>
        <v>0.12</v>
      </c>
      <c r="L17" s="158">
        <v>0.3</v>
      </c>
      <c r="M17" s="158">
        <v>0.6</v>
      </c>
      <c r="N17" s="156">
        <f t="shared" si="6"/>
        <v>1.44E-4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66.557560975609761</v>
      </c>
      <c r="S17" s="156">
        <f t="shared" si="11"/>
        <v>7.2000000000000002E-5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110.8690909090909</v>
      </c>
      <c r="X17" s="158">
        <v>2</v>
      </c>
      <c r="Y17" s="158">
        <v>2</v>
      </c>
      <c r="Z17" s="151">
        <f t="shared" si="16"/>
        <v>88.713325942350338</v>
      </c>
      <c r="AA17" s="154">
        <f t="shared" si="17"/>
        <v>2.4444444444444446E-2</v>
      </c>
    </row>
    <row r="18" spans="1:27" ht="13.5" x14ac:dyDescent="0.25">
      <c r="A18" s="18">
        <v>10</v>
      </c>
      <c r="B18" s="89">
        <v>1</v>
      </c>
      <c r="C18" s="89">
        <v>1</v>
      </c>
      <c r="D18" s="20" t="str">
        <f t="shared" si="0"/>
        <v>2D</v>
      </c>
      <c r="E18" s="86" t="str">
        <f t="shared" si="1"/>
        <v>N.A.</v>
      </c>
      <c r="F18" s="20">
        <f t="shared" si="2"/>
        <v>1</v>
      </c>
      <c r="G18" s="22">
        <f t="shared" si="3"/>
        <v>1</v>
      </c>
      <c r="H18" s="20">
        <f t="shared" si="4"/>
        <v>2.4444444444444446E-2</v>
      </c>
      <c r="I18" s="19" t="s">
        <v>52</v>
      </c>
      <c r="J18" s="79">
        <f t="shared" si="5"/>
        <v>0.12</v>
      </c>
      <c r="L18" s="158">
        <v>0.3</v>
      </c>
      <c r="M18" s="158">
        <v>0.6</v>
      </c>
      <c r="N18" s="156">
        <f t="shared" si="6"/>
        <v>1.44E-4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66.557560975609761</v>
      </c>
      <c r="S18" s="156">
        <f t="shared" si="11"/>
        <v>7.2000000000000002E-5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110.8690909090909</v>
      </c>
      <c r="X18" s="158">
        <v>2</v>
      </c>
      <c r="Y18" s="158">
        <v>2</v>
      </c>
      <c r="Z18" s="151">
        <f t="shared" si="16"/>
        <v>88.713325942350338</v>
      </c>
      <c r="AA18" s="154">
        <f t="shared" si="17"/>
        <v>2.4444444444444446E-2</v>
      </c>
    </row>
    <row r="19" spans="1:27" ht="13.5" x14ac:dyDescent="0.25">
      <c r="A19" s="18">
        <v>11</v>
      </c>
      <c r="B19" s="89">
        <v>1</v>
      </c>
      <c r="C19" s="89">
        <v>1</v>
      </c>
      <c r="D19" s="20" t="str">
        <f t="shared" si="0"/>
        <v>2D</v>
      </c>
      <c r="E19" s="86" t="str">
        <f t="shared" si="1"/>
        <v>N.A.</v>
      </c>
      <c r="F19" s="20">
        <f t="shared" si="2"/>
        <v>1</v>
      </c>
      <c r="G19" s="22">
        <f t="shared" si="3"/>
        <v>1</v>
      </c>
      <c r="H19" s="20">
        <f t="shared" si="4"/>
        <v>2.4444444444444446E-2</v>
      </c>
      <c r="I19" s="19" t="s">
        <v>52</v>
      </c>
      <c r="J19" s="79">
        <f t="shared" si="5"/>
        <v>0.12</v>
      </c>
      <c r="L19" s="158">
        <v>0.3</v>
      </c>
      <c r="M19" s="158">
        <v>0.6</v>
      </c>
      <c r="N19" s="156">
        <f t="shared" si="6"/>
        <v>1.44E-4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66.557560975609761</v>
      </c>
      <c r="S19" s="156">
        <f t="shared" si="11"/>
        <v>7.2000000000000002E-5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110.8690909090909</v>
      </c>
      <c r="X19" s="158">
        <v>2</v>
      </c>
      <c r="Y19" s="158">
        <v>2</v>
      </c>
      <c r="Z19" s="151">
        <f t="shared" si="16"/>
        <v>88.713325942350338</v>
      </c>
      <c r="AA19" s="154">
        <f t="shared" si="17"/>
        <v>2.4444444444444446E-2</v>
      </c>
    </row>
    <row r="20" spans="1:27" ht="13.5" x14ac:dyDescent="0.25">
      <c r="A20" s="18">
        <v>12</v>
      </c>
      <c r="B20" s="89">
        <v>1</v>
      </c>
      <c r="C20" s="89">
        <v>1</v>
      </c>
      <c r="D20" s="20" t="str">
        <f t="shared" si="0"/>
        <v>2D</v>
      </c>
      <c r="E20" s="86" t="str">
        <f t="shared" si="1"/>
        <v>N.A.</v>
      </c>
      <c r="F20" s="20">
        <f t="shared" si="2"/>
        <v>1</v>
      </c>
      <c r="G20" s="22">
        <f t="shared" si="3"/>
        <v>1</v>
      </c>
      <c r="H20" s="20">
        <f t="shared" si="4"/>
        <v>2.4444444444444446E-2</v>
      </c>
      <c r="I20" s="19" t="s">
        <v>52</v>
      </c>
      <c r="J20" s="79">
        <f t="shared" si="5"/>
        <v>0.12</v>
      </c>
      <c r="L20" s="158">
        <v>0.3</v>
      </c>
      <c r="M20" s="158">
        <v>0.6</v>
      </c>
      <c r="N20" s="156">
        <f t="shared" si="6"/>
        <v>1.44E-4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66.557560975609761</v>
      </c>
      <c r="S20" s="156">
        <f t="shared" si="11"/>
        <v>7.2000000000000002E-5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110.8690909090909</v>
      </c>
      <c r="X20" s="158">
        <v>2</v>
      </c>
      <c r="Y20" s="158">
        <v>2</v>
      </c>
      <c r="Z20" s="151">
        <f t="shared" si="16"/>
        <v>88.713325942350338</v>
      </c>
      <c r="AA20" s="154">
        <f t="shared" si="17"/>
        <v>2.4444444444444446E-2</v>
      </c>
    </row>
    <row r="21" spans="1:27" ht="13.5" x14ac:dyDescent="0.25">
      <c r="A21" s="18">
        <v>13</v>
      </c>
      <c r="B21" s="89">
        <v>1</v>
      </c>
      <c r="C21" s="89">
        <v>1</v>
      </c>
      <c r="D21" s="20" t="str">
        <f t="shared" si="0"/>
        <v>2D</v>
      </c>
      <c r="E21" s="86" t="str">
        <f t="shared" si="1"/>
        <v>N.A.</v>
      </c>
      <c r="F21" s="20">
        <f t="shared" si="2"/>
        <v>1</v>
      </c>
      <c r="G21" s="22">
        <f t="shared" si="3"/>
        <v>1</v>
      </c>
      <c r="H21" s="20">
        <f t="shared" si="4"/>
        <v>2.4444444444444446E-2</v>
      </c>
      <c r="I21" s="19" t="s">
        <v>52</v>
      </c>
      <c r="J21" s="79">
        <f t="shared" si="5"/>
        <v>0.12</v>
      </c>
      <c r="L21" s="158">
        <v>0.3</v>
      </c>
      <c r="M21" s="158">
        <v>0.6</v>
      </c>
      <c r="N21" s="156">
        <f t="shared" si="6"/>
        <v>1.44E-4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66.557560975609761</v>
      </c>
      <c r="S21" s="156">
        <f t="shared" si="11"/>
        <v>7.2000000000000002E-5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110.8690909090909</v>
      </c>
      <c r="X21" s="158">
        <v>2</v>
      </c>
      <c r="Y21" s="158">
        <v>2</v>
      </c>
      <c r="Z21" s="151">
        <f t="shared" si="16"/>
        <v>88.713325942350338</v>
      </c>
      <c r="AA21" s="154">
        <f t="shared" si="17"/>
        <v>2.4444444444444446E-2</v>
      </c>
    </row>
    <row r="22" spans="1:27" ht="13.5" x14ac:dyDescent="0.25">
      <c r="A22" s="18">
        <v>14</v>
      </c>
      <c r="B22" s="89">
        <v>1</v>
      </c>
      <c r="C22" s="89">
        <v>1</v>
      </c>
      <c r="D22" s="20" t="str">
        <f t="shared" si="0"/>
        <v>2D</v>
      </c>
      <c r="E22" s="86" t="str">
        <f t="shared" si="1"/>
        <v>N.A.</v>
      </c>
      <c r="F22" s="20">
        <f t="shared" si="2"/>
        <v>1</v>
      </c>
      <c r="G22" s="22">
        <f t="shared" si="3"/>
        <v>1</v>
      </c>
      <c r="H22" s="20">
        <f t="shared" si="4"/>
        <v>2.4444444444444446E-2</v>
      </c>
      <c r="I22" s="19" t="s">
        <v>52</v>
      </c>
      <c r="J22" s="79">
        <f t="shared" si="5"/>
        <v>0.12</v>
      </c>
      <c r="L22" s="158">
        <v>0.3</v>
      </c>
      <c r="M22" s="158">
        <v>0.6</v>
      </c>
      <c r="N22" s="156">
        <f t="shared" si="6"/>
        <v>1.44E-4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66.557560975609761</v>
      </c>
      <c r="S22" s="156">
        <f t="shared" si="11"/>
        <v>7.2000000000000002E-5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110.8690909090909</v>
      </c>
      <c r="X22" s="158">
        <v>2</v>
      </c>
      <c r="Y22" s="158">
        <v>2</v>
      </c>
      <c r="Z22" s="151">
        <f t="shared" si="16"/>
        <v>88.713325942350338</v>
      </c>
      <c r="AA22" s="154">
        <f t="shared" si="17"/>
        <v>2.4444444444444446E-2</v>
      </c>
    </row>
    <row r="23" spans="1:27" ht="13.5" x14ac:dyDescent="0.25">
      <c r="A23" s="18">
        <v>15</v>
      </c>
      <c r="B23" s="89">
        <v>1</v>
      </c>
      <c r="C23" s="89">
        <v>1</v>
      </c>
      <c r="D23" s="20" t="str">
        <f t="shared" si="0"/>
        <v>2D</v>
      </c>
      <c r="E23" s="86" t="str">
        <f t="shared" si="1"/>
        <v>N.A.</v>
      </c>
      <c r="F23" s="20">
        <f t="shared" si="2"/>
        <v>1</v>
      </c>
      <c r="G23" s="22">
        <f t="shared" si="3"/>
        <v>1</v>
      </c>
      <c r="H23" s="20">
        <f t="shared" si="4"/>
        <v>2.4444444444444446E-2</v>
      </c>
      <c r="I23" s="19" t="s">
        <v>52</v>
      </c>
      <c r="J23" s="79">
        <f t="shared" si="5"/>
        <v>0.12</v>
      </c>
      <c r="L23" s="158">
        <v>0.3</v>
      </c>
      <c r="M23" s="158">
        <v>0.6</v>
      </c>
      <c r="N23" s="156">
        <f t="shared" si="6"/>
        <v>1.44E-4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66.557560975609761</v>
      </c>
      <c r="S23" s="156">
        <f t="shared" si="11"/>
        <v>7.2000000000000002E-5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110.8690909090909</v>
      </c>
      <c r="X23" s="158">
        <v>2</v>
      </c>
      <c r="Y23" s="158">
        <v>2</v>
      </c>
      <c r="Z23" s="151">
        <f t="shared" si="16"/>
        <v>88.713325942350338</v>
      </c>
      <c r="AA23" s="154">
        <f t="shared" si="17"/>
        <v>2.4444444444444446E-2</v>
      </c>
    </row>
    <row r="24" spans="1:27" ht="13.5" x14ac:dyDescent="0.25">
      <c r="A24" s="18">
        <v>16</v>
      </c>
      <c r="B24" s="89">
        <v>1</v>
      </c>
      <c r="C24" s="89">
        <v>1</v>
      </c>
      <c r="D24" s="20" t="str">
        <f t="shared" si="0"/>
        <v>2D</v>
      </c>
      <c r="E24" s="86" t="str">
        <f t="shared" si="1"/>
        <v>N.A.</v>
      </c>
      <c r="F24" s="20">
        <f t="shared" si="2"/>
        <v>1</v>
      </c>
      <c r="G24" s="22">
        <f t="shared" si="3"/>
        <v>1</v>
      </c>
      <c r="H24" s="20">
        <f t="shared" si="4"/>
        <v>2.4444444444444446E-2</v>
      </c>
      <c r="I24" s="19" t="s">
        <v>52</v>
      </c>
      <c r="J24" s="79">
        <f t="shared" si="5"/>
        <v>0.12</v>
      </c>
      <c r="L24" s="158">
        <v>0.3</v>
      </c>
      <c r="M24" s="158">
        <v>0.6</v>
      </c>
      <c r="N24" s="156">
        <f t="shared" si="6"/>
        <v>1.44E-4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66.557560975609761</v>
      </c>
      <c r="S24" s="156">
        <f t="shared" si="11"/>
        <v>7.2000000000000002E-5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110.8690909090909</v>
      </c>
      <c r="X24" s="158">
        <v>2</v>
      </c>
      <c r="Y24" s="158">
        <v>2</v>
      </c>
      <c r="Z24" s="151">
        <f t="shared" si="16"/>
        <v>88.713325942350338</v>
      </c>
      <c r="AA24" s="154">
        <f t="shared" si="17"/>
        <v>2.4444444444444446E-2</v>
      </c>
    </row>
    <row r="25" spans="1:27" ht="13.5" x14ac:dyDescent="0.25">
      <c r="A25" s="18">
        <v>17</v>
      </c>
      <c r="B25" s="89">
        <v>1</v>
      </c>
      <c r="C25" s="89">
        <v>1</v>
      </c>
      <c r="D25" s="20" t="str">
        <f t="shared" si="0"/>
        <v>2D</v>
      </c>
      <c r="E25" s="86" t="str">
        <f t="shared" si="1"/>
        <v>N.A.</v>
      </c>
      <c r="F25" s="20">
        <f t="shared" si="2"/>
        <v>1</v>
      </c>
      <c r="G25" s="22">
        <f t="shared" si="3"/>
        <v>1</v>
      </c>
      <c r="H25" s="20">
        <f t="shared" si="4"/>
        <v>2.4444444444444446E-2</v>
      </c>
      <c r="I25" s="19" t="s">
        <v>52</v>
      </c>
      <c r="J25" s="79">
        <f t="shared" si="5"/>
        <v>0.12</v>
      </c>
      <c r="L25" s="158">
        <v>0.3</v>
      </c>
      <c r="M25" s="158">
        <v>0.6</v>
      </c>
      <c r="N25" s="156">
        <f t="shared" si="6"/>
        <v>1.44E-4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66.557560975609761</v>
      </c>
      <c r="S25" s="156">
        <f t="shared" si="11"/>
        <v>7.2000000000000002E-5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110.8690909090909</v>
      </c>
      <c r="X25" s="158">
        <v>2</v>
      </c>
      <c r="Y25" s="158">
        <v>2</v>
      </c>
      <c r="Z25" s="151">
        <f t="shared" si="16"/>
        <v>88.713325942350338</v>
      </c>
      <c r="AA25" s="154">
        <f t="shared" si="17"/>
        <v>2.4444444444444446E-2</v>
      </c>
    </row>
    <row r="26" spans="1:27" ht="13.5" x14ac:dyDescent="0.25">
      <c r="A26" s="18">
        <v>18</v>
      </c>
      <c r="B26" s="89">
        <v>1</v>
      </c>
      <c r="C26" s="89">
        <v>1</v>
      </c>
      <c r="D26" s="20" t="str">
        <f t="shared" si="0"/>
        <v>2D</v>
      </c>
      <c r="E26" s="86" t="str">
        <f t="shared" si="1"/>
        <v>N.A.</v>
      </c>
      <c r="F26" s="20">
        <f t="shared" si="2"/>
        <v>1</v>
      </c>
      <c r="G26" s="22">
        <f t="shared" si="3"/>
        <v>1</v>
      </c>
      <c r="H26" s="20">
        <f t="shared" si="4"/>
        <v>2.4444444444444446E-2</v>
      </c>
      <c r="I26" s="19" t="s">
        <v>52</v>
      </c>
      <c r="J26" s="79">
        <f t="shared" si="5"/>
        <v>0.12</v>
      </c>
      <c r="L26" s="158">
        <v>0.3</v>
      </c>
      <c r="M26" s="158">
        <v>0.6</v>
      </c>
      <c r="N26" s="156">
        <f t="shared" si="6"/>
        <v>1.44E-4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66.557560975609761</v>
      </c>
      <c r="S26" s="156">
        <f t="shared" si="11"/>
        <v>7.2000000000000002E-5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110.8690909090909</v>
      </c>
      <c r="X26" s="158">
        <v>2</v>
      </c>
      <c r="Y26" s="158">
        <v>2</v>
      </c>
      <c r="Z26" s="151">
        <f t="shared" si="16"/>
        <v>88.713325942350338</v>
      </c>
      <c r="AA26" s="154">
        <f t="shared" si="17"/>
        <v>2.4444444444444446E-2</v>
      </c>
    </row>
    <row r="27" spans="1:27" ht="13.5" x14ac:dyDescent="0.25">
      <c r="A27" s="18">
        <v>19</v>
      </c>
      <c r="B27" s="89">
        <v>1</v>
      </c>
      <c r="C27" s="89">
        <v>1</v>
      </c>
      <c r="D27" s="20" t="str">
        <f t="shared" si="0"/>
        <v>2D</v>
      </c>
      <c r="E27" s="86" t="str">
        <f t="shared" si="1"/>
        <v>N.A.</v>
      </c>
      <c r="F27" s="20">
        <f t="shared" si="2"/>
        <v>1</v>
      </c>
      <c r="G27" s="22">
        <f t="shared" si="3"/>
        <v>1</v>
      </c>
      <c r="H27" s="20">
        <f t="shared" si="4"/>
        <v>2.4444444444444446E-2</v>
      </c>
      <c r="I27" s="19" t="s">
        <v>52</v>
      </c>
      <c r="J27" s="79">
        <f t="shared" si="5"/>
        <v>0.12</v>
      </c>
      <c r="L27" s="158">
        <v>0.3</v>
      </c>
      <c r="M27" s="158">
        <v>0.6</v>
      </c>
      <c r="N27" s="156">
        <f t="shared" si="6"/>
        <v>1.44E-4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66.557560975609761</v>
      </c>
      <c r="S27" s="156">
        <f t="shared" si="11"/>
        <v>7.2000000000000002E-5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110.8690909090909</v>
      </c>
      <c r="X27" s="158">
        <v>2</v>
      </c>
      <c r="Y27" s="158">
        <v>2</v>
      </c>
      <c r="Z27" s="151">
        <f t="shared" si="16"/>
        <v>88.713325942350338</v>
      </c>
      <c r="AA27" s="154">
        <f t="shared" si="17"/>
        <v>2.4444444444444446E-2</v>
      </c>
    </row>
    <row r="28" spans="1:27" ht="13.5" x14ac:dyDescent="0.25">
      <c r="A28" s="18">
        <v>20</v>
      </c>
      <c r="B28" s="89">
        <v>1</v>
      </c>
      <c r="C28" s="89">
        <v>1</v>
      </c>
      <c r="D28" s="20" t="str">
        <f t="shared" si="0"/>
        <v>2D</v>
      </c>
      <c r="E28" s="86" t="str">
        <f t="shared" si="1"/>
        <v>N.A.</v>
      </c>
      <c r="F28" s="20">
        <f t="shared" si="2"/>
        <v>1</v>
      </c>
      <c r="G28" s="22">
        <f t="shared" si="3"/>
        <v>1</v>
      </c>
      <c r="H28" s="20">
        <f t="shared" si="4"/>
        <v>2.4444444444444446E-2</v>
      </c>
      <c r="I28" s="19" t="s">
        <v>52</v>
      </c>
      <c r="J28" s="79">
        <f t="shared" si="5"/>
        <v>0.12</v>
      </c>
      <c r="L28" s="158">
        <v>0.3</v>
      </c>
      <c r="M28" s="158">
        <v>0.6</v>
      </c>
      <c r="N28" s="156">
        <f t="shared" si="6"/>
        <v>1.44E-4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66.557560975609761</v>
      </c>
      <c r="S28" s="156">
        <f t="shared" si="11"/>
        <v>7.2000000000000002E-5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110.8690909090909</v>
      </c>
      <c r="X28" s="158">
        <v>2</v>
      </c>
      <c r="Y28" s="158">
        <v>2</v>
      </c>
      <c r="Z28" s="151">
        <f t="shared" si="16"/>
        <v>88.713325942350338</v>
      </c>
      <c r="AA28" s="154">
        <f t="shared" si="17"/>
        <v>2.4444444444444446E-2</v>
      </c>
    </row>
    <row r="29" spans="1:27" ht="13.5" x14ac:dyDescent="0.25">
      <c r="A29" s="18">
        <v>21</v>
      </c>
      <c r="B29" s="89">
        <v>1</v>
      </c>
      <c r="C29" s="89">
        <v>1</v>
      </c>
      <c r="D29" s="20" t="str">
        <f t="shared" si="0"/>
        <v>2D</v>
      </c>
      <c r="E29" s="86" t="str">
        <f t="shared" si="1"/>
        <v>N.A.</v>
      </c>
      <c r="F29" s="20">
        <f t="shared" si="2"/>
        <v>1</v>
      </c>
      <c r="G29" s="22">
        <f t="shared" si="3"/>
        <v>1</v>
      </c>
      <c r="H29" s="20">
        <f t="shared" si="4"/>
        <v>2.4444444444444446E-2</v>
      </c>
      <c r="I29" s="19" t="s">
        <v>52</v>
      </c>
      <c r="J29" s="79">
        <f t="shared" si="5"/>
        <v>0.12</v>
      </c>
      <c r="L29" s="158">
        <v>0.3</v>
      </c>
      <c r="M29" s="158">
        <v>0.6</v>
      </c>
      <c r="N29" s="156">
        <f t="shared" si="6"/>
        <v>1.44E-4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66.557560975609761</v>
      </c>
      <c r="S29" s="156">
        <f t="shared" si="11"/>
        <v>7.2000000000000002E-5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110.8690909090909</v>
      </c>
      <c r="X29" s="158">
        <v>2</v>
      </c>
      <c r="Y29" s="158">
        <v>2</v>
      </c>
      <c r="Z29" s="151">
        <f t="shared" si="16"/>
        <v>88.713325942350338</v>
      </c>
      <c r="AA29" s="154">
        <f t="shared" si="17"/>
        <v>2.4444444444444446E-2</v>
      </c>
    </row>
    <row r="30" spans="1:27" ht="13.5" x14ac:dyDescent="0.25">
      <c r="A30" s="18">
        <v>22</v>
      </c>
      <c r="B30" s="89">
        <v>1</v>
      </c>
      <c r="C30" s="89">
        <v>1</v>
      </c>
      <c r="D30" s="20" t="str">
        <f t="shared" si="0"/>
        <v>2D</v>
      </c>
      <c r="E30" s="86" t="str">
        <f t="shared" si="1"/>
        <v>N.A.</v>
      </c>
      <c r="F30" s="20">
        <f t="shared" si="2"/>
        <v>1</v>
      </c>
      <c r="G30" s="22">
        <f t="shared" si="3"/>
        <v>1</v>
      </c>
      <c r="H30" s="20">
        <f t="shared" si="4"/>
        <v>2.4444444444444446E-2</v>
      </c>
      <c r="I30" s="19" t="s">
        <v>52</v>
      </c>
      <c r="J30" s="79">
        <f t="shared" si="5"/>
        <v>0.12</v>
      </c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ht="13.5" x14ac:dyDescent="0.25">
      <c r="A31" s="18">
        <v>23</v>
      </c>
      <c r="B31" s="89">
        <v>1</v>
      </c>
      <c r="C31" s="89">
        <v>1</v>
      </c>
      <c r="D31" s="20" t="str">
        <f t="shared" si="0"/>
        <v>2D</v>
      </c>
      <c r="E31" s="86" t="str">
        <f t="shared" si="1"/>
        <v>N.A.</v>
      </c>
      <c r="F31" s="20">
        <f t="shared" si="2"/>
        <v>1</v>
      </c>
      <c r="G31" s="22">
        <f t="shared" si="3"/>
        <v>1</v>
      </c>
      <c r="H31" s="20">
        <f t="shared" si="4"/>
        <v>2.4444444444444446E-2</v>
      </c>
      <c r="I31" s="19" t="s">
        <v>52</v>
      </c>
      <c r="J31" s="79">
        <f t="shared" si="5"/>
        <v>0.12</v>
      </c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ht="13.5" x14ac:dyDescent="0.25">
      <c r="A32" s="18">
        <v>24</v>
      </c>
      <c r="B32" s="89">
        <v>1</v>
      </c>
      <c r="C32" s="89">
        <v>1</v>
      </c>
      <c r="D32" s="20" t="str">
        <f t="shared" si="0"/>
        <v>2D</v>
      </c>
      <c r="E32" s="86" t="str">
        <f t="shared" si="1"/>
        <v>N.A.</v>
      </c>
      <c r="F32" s="20">
        <f t="shared" si="2"/>
        <v>1</v>
      </c>
      <c r="G32" s="22">
        <f t="shared" si="3"/>
        <v>1</v>
      </c>
      <c r="H32" s="20">
        <f t="shared" si="4"/>
        <v>2.4444444444444446E-2</v>
      </c>
      <c r="I32" s="19" t="s">
        <v>52</v>
      </c>
      <c r="J32" s="79">
        <f t="shared" si="5"/>
        <v>0.12</v>
      </c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ht="13.5" x14ac:dyDescent="0.25">
      <c r="A33" s="18">
        <v>25</v>
      </c>
      <c r="B33" s="89">
        <v>1</v>
      </c>
      <c r="C33" s="89">
        <v>1</v>
      </c>
      <c r="D33" s="20" t="str">
        <f t="shared" si="0"/>
        <v>2D</v>
      </c>
      <c r="E33" s="86" t="str">
        <f t="shared" si="1"/>
        <v>N.A.</v>
      </c>
      <c r="F33" s="20">
        <f t="shared" si="2"/>
        <v>1</v>
      </c>
      <c r="G33" s="22">
        <f t="shared" si="3"/>
        <v>1</v>
      </c>
      <c r="H33" s="20">
        <f t="shared" si="4"/>
        <v>2.4444444444444446E-2</v>
      </c>
      <c r="I33" s="19" t="s">
        <v>52</v>
      </c>
      <c r="J33" s="79">
        <f t="shared" si="5"/>
        <v>0.12</v>
      </c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ht="13.5" x14ac:dyDescent="0.25">
      <c r="A34" s="18">
        <v>26</v>
      </c>
      <c r="B34" s="89">
        <v>1</v>
      </c>
      <c r="C34" s="89">
        <v>1</v>
      </c>
      <c r="D34" s="20" t="str">
        <f t="shared" si="0"/>
        <v>2D</v>
      </c>
      <c r="E34" s="86" t="str">
        <f t="shared" si="1"/>
        <v>N.A.</v>
      </c>
      <c r="F34" s="20">
        <f t="shared" si="2"/>
        <v>1</v>
      </c>
      <c r="G34" s="22">
        <f t="shared" si="3"/>
        <v>1</v>
      </c>
      <c r="H34" s="20">
        <f t="shared" si="4"/>
        <v>2.4444444444444446E-2</v>
      </c>
      <c r="I34" s="19" t="s">
        <v>52</v>
      </c>
      <c r="J34" s="79">
        <f t="shared" si="5"/>
        <v>0.12</v>
      </c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ht="13.5" x14ac:dyDescent="0.25">
      <c r="A35" s="18">
        <v>27</v>
      </c>
      <c r="B35" s="89">
        <v>1</v>
      </c>
      <c r="C35" s="89">
        <v>1</v>
      </c>
      <c r="D35" s="20" t="str">
        <f t="shared" si="0"/>
        <v>2D</v>
      </c>
      <c r="E35" s="86" t="str">
        <f t="shared" si="1"/>
        <v>N.A.</v>
      </c>
      <c r="F35" s="20">
        <f t="shared" si="2"/>
        <v>1</v>
      </c>
      <c r="G35" s="22">
        <f t="shared" si="3"/>
        <v>1</v>
      </c>
      <c r="H35" s="20">
        <f t="shared" si="4"/>
        <v>2.4444444444444446E-2</v>
      </c>
      <c r="I35" s="19" t="s">
        <v>52</v>
      </c>
      <c r="J35" s="79">
        <f t="shared" si="5"/>
        <v>0.12</v>
      </c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ht="13.5" x14ac:dyDescent="0.25">
      <c r="A36" s="18">
        <v>28</v>
      </c>
      <c r="B36" s="89">
        <v>1</v>
      </c>
      <c r="C36" s="89">
        <v>1</v>
      </c>
      <c r="D36" s="20" t="str">
        <f t="shared" si="0"/>
        <v>2D</v>
      </c>
      <c r="E36" s="86" t="str">
        <f t="shared" si="1"/>
        <v>N.A.</v>
      </c>
      <c r="F36" s="20">
        <f t="shared" si="2"/>
        <v>1</v>
      </c>
      <c r="G36" s="22">
        <f t="shared" si="3"/>
        <v>1</v>
      </c>
      <c r="H36" s="20">
        <f t="shared" si="4"/>
        <v>2.4444444444444446E-2</v>
      </c>
      <c r="I36" s="19" t="s">
        <v>52</v>
      </c>
      <c r="J36" s="79">
        <f t="shared" si="5"/>
        <v>0.12</v>
      </c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ht="13.5" x14ac:dyDescent="0.25">
      <c r="A37" s="18">
        <v>29</v>
      </c>
      <c r="B37" s="89">
        <v>1</v>
      </c>
      <c r="C37" s="89">
        <v>1</v>
      </c>
      <c r="D37" s="20" t="str">
        <f t="shared" si="0"/>
        <v>2D</v>
      </c>
      <c r="E37" s="86" t="str">
        <f t="shared" si="1"/>
        <v>N.A.</v>
      </c>
      <c r="F37" s="20">
        <f t="shared" si="2"/>
        <v>1</v>
      </c>
      <c r="G37" s="22">
        <f t="shared" si="3"/>
        <v>1</v>
      </c>
      <c r="H37" s="20">
        <f t="shared" si="4"/>
        <v>2.4444444444444446E-2</v>
      </c>
      <c r="I37" s="19" t="s">
        <v>52</v>
      </c>
      <c r="J37" s="79">
        <f t="shared" si="5"/>
        <v>0.12</v>
      </c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ht="13.5" x14ac:dyDescent="0.25">
      <c r="A38" s="18">
        <v>30</v>
      </c>
      <c r="B38" s="89">
        <v>1</v>
      </c>
      <c r="C38" s="89">
        <v>1</v>
      </c>
      <c r="D38" s="20" t="str">
        <f t="shared" si="0"/>
        <v>2D</v>
      </c>
      <c r="E38" s="86" t="str">
        <f t="shared" si="1"/>
        <v>N.A.</v>
      </c>
      <c r="F38" s="20">
        <f t="shared" si="2"/>
        <v>1</v>
      </c>
      <c r="G38" s="22">
        <f t="shared" si="3"/>
        <v>1</v>
      </c>
      <c r="H38" s="20">
        <f t="shared" si="4"/>
        <v>2.4444444444444446E-2</v>
      </c>
      <c r="I38" s="19" t="s">
        <v>52</v>
      </c>
      <c r="J38" s="79">
        <f t="shared" si="5"/>
        <v>0.12</v>
      </c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ht="13.5" x14ac:dyDescent="0.25">
      <c r="A39" s="18">
        <v>31</v>
      </c>
      <c r="B39" s="89">
        <v>1</v>
      </c>
      <c r="C39" s="89">
        <v>1</v>
      </c>
      <c r="D39" s="20" t="str">
        <f t="shared" si="0"/>
        <v>2D</v>
      </c>
      <c r="E39" s="86" t="str">
        <f t="shared" si="1"/>
        <v>N.A.</v>
      </c>
      <c r="F39" s="20">
        <f t="shared" si="2"/>
        <v>1</v>
      </c>
      <c r="G39" s="22">
        <f t="shared" si="3"/>
        <v>1</v>
      </c>
      <c r="H39" s="20">
        <f t="shared" si="4"/>
        <v>2.4444444444444446E-2</v>
      </c>
      <c r="I39" s="19" t="s">
        <v>52</v>
      </c>
      <c r="J39" s="79">
        <f t="shared" si="5"/>
        <v>0.12</v>
      </c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ht="13.5" x14ac:dyDescent="0.25">
      <c r="A40" s="18">
        <v>32</v>
      </c>
      <c r="B40" s="89">
        <v>1</v>
      </c>
      <c r="C40" s="89">
        <v>1</v>
      </c>
      <c r="D40" s="20" t="str">
        <f t="shared" si="0"/>
        <v>2D</v>
      </c>
      <c r="E40" s="86" t="str">
        <f t="shared" si="1"/>
        <v>N.A.</v>
      </c>
      <c r="F40" s="20">
        <f t="shared" si="2"/>
        <v>1</v>
      </c>
      <c r="G40" s="22">
        <f t="shared" si="3"/>
        <v>1</v>
      </c>
      <c r="H40" s="20">
        <f t="shared" si="4"/>
        <v>2.4444444444444446E-2</v>
      </c>
      <c r="I40" s="19" t="s">
        <v>52</v>
      </c>
      <c r="J40" s="79">
        <f t="shared" si="5"/>
        <v>0.12</v>
      </c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ht="13.5" x14ac:dyDescent="0.25">
      <c r="A41" s="18">
        <v>33</v>
      </c>
      <c r="B41" s="89">
        <v>1</v>
      </c>
      <c r="C41" s="89">
        <v>1</v>
      </c>
      <c r="D41" s="20" t="str">
        <f t="shared" si="0"/>
        <v>2D</v>
      </c>
      <c r="E41" s="86" t="str">
        <f t="shared" si="1"/>
        <v>N.A.</v>
      </c>
      <c r="F41" s="20">
        <f t="shared" si="2"/>
        <v>1</v>
      </c>
      <c r="G41" s="22">
        <f t="shared" si="3"/>
        <v>1</v>
      </c>
      <c r="H41" s="20">
        <f t="shared" si="4"/>
        <v>2.4444444444444446E-2</v>
      </c>
      <c r="I41" s="19" t="s">
        <v>52</v>
      </c>
      <c r="J41" s="79">
        <f t="shared" si="5"/>
        <v>0.12</v>
      </c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ht="13.5" x14ac:dyDescent="0.25">
      <c r="A42" s="18">
        <v>34</v>
      </c>
      <c r="B42" s="89">
        <v>1</v>
      </c>
      <c r="C42" s="89">
        <v>1</v>
      </c>
      <c r="D42" s="20" t="str">
        <f t="shared" si="0"/>
        <v>2D</v>
      </c>
      <c r="E42" s="86" t="str">
        <f t="shared" si="1"/>
        <v>N.A.</v>
      </c>
      <c r="F42" s="20">
        <f t="shared" si="2"/>
        <v>1</v>
      </c>
      <c r="G42" s="22">
        <f t="shared" si="3"/>
        <v>1</v>
      </c>
      <c r="H42" s="20">
        <f t="shared" si="4"/>
        <v>2.4444444444444446E-2</v>
      </c>
      <c r="I42" s="19" t="s">
        <v>52</v>
      </c>
      <c r="J42" s="79">
        <f t="shared" si="5"/>
        <v>0.12</v>
      </c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ht="13.5" x14ac:dyDescent="0.25">
      <c r="A43" s="18">
        <v>35</v>
      </c>
      <c r="B43" s="89">
        <v>1</v>
      </c>
      <c r="C43" s="89">
        <v>1</v>
      </c>
      <c r="D43" s="20" t="str">
        <f t="shared" si="0"/>
        <v>2D</v>
      </c>
      <c r="E43" s="86" t="str">
        <f t="shared" si="1"/>
        <v>N.A.</v>
      </c>
      <c r="F43" s="20">
        <f t="shared" si="2"/>
        <v>1</v>
      </c>
      <c r="G43" s="22">
        <f t="shared" si="3"/>
        <v>1</v>
      </c>
      <c r="H43" s="20">
        <f t="shared" si="4"/>
        <v>2.4444444444444446E-2</v>
      </c>
      <c r="I43" s="19" t="s">
        <v>52</v>
      </c>
      <c r="J43" s="79">
        <f t="shared" si="5"/>
        <v>0.12</v>
      </c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ht="13.5" x14ac:dyDescent="0.25">
      <c r="A44" s="18">
        <v>36</v>
      </c>
      <c r="B44" s="89">
        <v>1</v>
      </c>
      <c r="C44" s="89">
        <v>1</v>
      </c>
      <c r="D44" s="20" t="str">
        <f t="shared" si="0"/>
        <v>2D</v>
      </c>
      <c r="E44" s="86" t="str">
        <f t="shared" si="1"/>
        <v>N.A.</v>
      </c>
      <c r="F44" s="20">
        <f t="shared" si="2"/>
        <v>1</v>
      </c>
      <c r="G44" s="22">
        <f t="shared" si="3"/>
        <v>1</v>
      </c>
      <c r="H44" s="20">
        <f t="shared" si="4"/>
        <v>2.4444444444444446E-2</v>
      </c>
      <c r="I44" s="19" t="s">
        <v>52</v>
      </c>
      <c r="J44" s="79">
        <f t="shared" si="5"/>
        <v>0.12</v>
      </c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ht="13.5" x14ac:dyDescent="0.25">
      <c r="A45" s="18">
        <v>37</v>
      </c>
      <c r="B45" s="89">
        <v>1</v>
      </c>
      <c r="C45" s="89">
        <v>1</v>
      </c>
      <c r="D45" s="20" t="str">
        <f t="shared" si="0"/>
        <v>2D</v>
      </c>
      <c r="E45" s="86" t="str">
        <f t="shared" si="1"/>
        <v>N.A.</v>
      </c>
      <c r="F45" s="20">
        <f t="shared" si="2"/>
        <v>1</v>
      </c>
      <c r="G45" s="22">
        <f t="shared" si="3"/>
        <v>1</v>
      </c>
      <c r="H45" s="20">
        <f t="shared" si="4"/>
        <v>2.4444444444444446E-2</v>
      </c>
      <c r="I45" s="19" t="s">
        <v>52</v>
      </c>
      <c r="J45" s="79">
        <f t="shared" si="5"/>
        <v>0.12</v>
      </c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ht="13.5" x14ac:dyDescent="0.25">
      <c r="A46" s="18">
        <v>38</v>
      </c>
      <c r="B46" s="89">
        <v>1</v>
      </c>
      <c r="C46" s="89">
        <v>1</v>
      </c>
      <c r="D46" s="20" t="str">
        <f t="shared" si="0"/>
        <v>2D</v>
      </c>
      <c r="E46" s="86" t="str">
        <f t="shared" si="1"/>
        <v>N.A.</v>
      </c>
      <c r="F46" s="20">
        <f t="shared" si="2"/>
        <v>1</v>
      </c>
      <c r="G46" s="22">
        <f t="shared" si="3"/>
        <v>1</v>
      </c>
      <c r="H46" s="20">
        <f t="shared" si="4"/>
        <v>2.4444444444444446E-2</v>
      </c>
      <c r="I46" s="19" t="s">
        <v>52</v>
      </c>
      <c r="J46" s="79">
        <f t="shared" si="5"/>
        <v>0.12</v>
      </c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ht="13.5" x14ac:dyDescent="0.25">
      <c r="A47" s="18">
        <v>39</v>
      </c>
      <c r="B47" s="89">
        <v>1</v>
      </c>
      <c r="C47" s="89">
        <v>1</v>
      </c>
      <c r="D47" s="20" t="str">
        <f t="shared" si="0"/>
        <v>2D</v>
      </c>
      <c r="E47" s="86" t="str">
        <f t="shared" si="1"/>
        <v>N.A.</v>
      </c>
      <c r="F47" s="20">
        <f t="shared" si="2"/>
        <v>1</v>
      </c>
      <c r="G47" s="22">
        <f t="shared" si="3"/>
        <v>1</v>
      </c>
      <c r="H47" s="20">
        <f t="shared" si="4"/>
        <v>2.4444444444444446E-2</v>
      </c>
      <c r="I47" s="19" t="s">
        <v>52</v>
      </c>
      <c r="J47" s="79">
        <f t="shared" si="5"/>
        <v>0.12</v>
      </c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ht="13.5" x14ac:dyDescent="0.25">
      <c r="A48" s="18">
        <v>40</v>
      </c>
      <c r="B48" s="89">
        <v>1</v>
      </c>
      <c r="C48" s="89">
        <v>1</v>
      </c>
      <c r="D48" s="20" t="str">
        <f t="shared" si="0"/>
        <v>2D</v>
      </c>
      <c r="E48" s="86" t="str">
        <f t="shared" si="1"/>
        <v>N.A.</v>
      </c>
      <c r="F48" s="20">
        <f t="shared" si="2"/>
        <v>1</v>
      </c>
      <c r="G48" s="22">
        <f t="shared" si="3"/>
        <v>1</v>
      </c>
      <c r="H48" s="20">
        <f t="shared" si="4"/>
        <v>2.4444444444444446E-2</v>
      </c>
      <c r="I48" s="19" t="s">
        <v>52</v>
      </c>
      <c r="J48" s="79">
        <f t="shared" si="5"/>
        <v>0.12</v>
      </c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ht="13.5" x14ac:dyDescent="0.25">
      <c r="A49" s="18">
        <v>41</v>
      </c>
      <c r="B49" s="89">
        <v>1</v>
      </c>
      <c r="C49" s="89">
        <v>1</v>
      </c>
      <c r="D49" s="20" t="str">
        <f t="shared" si="0"/>
        <v>2D</v>
      </c>
      <c r="E49" s="86" t="str">
        <f t="shared" si="1"/>
        <v>N.A.</v>
      </c>
      <c r="F49" s="20">
        <f t="shared" si="2"/>
        <v>1</v>
      </c>
      <c r="G49" s="22">
        <f t="shared" si="3"/>
        <v>1</v>
      </c>
      <c r="H49" s="20">
        <f t="shared" si="4"/>
        <v>2.4444444444444446E-2</v>
      </c>
      <c r="I49" s="19" t="s">
        <v>52</v>
      </c>
      <c r="J49" s="79">
        <f t="shared" si="5"/>
        <v>0.12</v>
      </c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ht="13.5" x14ac:dyDescent="0.25">
      <c r="A50" s="18">
        <v>42</v>
      </c>
      <c r="B50" s="89">
        <v>1</v>
      </c>
      <c r="C50" s="89">
        <v>1</v>
      </c>
      <c r="D50" s="20" t="str">
        <f t="shared" si="0"/>
        <v>2D</v>
      </c>
      <c r="E50" s="86" t="str">
        <f t="shared" si="1"/>
        <v>N.A.</v>
      </c>
      <c r="F50" s="20">
        <f t="shared" si="2"/>
        <v>1</v>
      </c>
      <c r="G50" s="22">
        <f t="shared" si="3"/>
        <v>1</v>
      </c>
      <c r="H50" s="20">
        <f t="shared" si="4"/>
        <v>2.4444444444444446E-2</v>
      </c>
      <c r="I50" s="19" t="s">
        <v>52</v>
      </c>
      <c r="J50" s="79">
        <f t="shared" si="5"/>
        <v>0.12</v>
      </c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ht="13.5" x14ac:dyDescent="0.25">
      <c r="A51" s="18">
        <v>43</v>
      </c>
      <c r="B51" s="89">
        <v>1</v>
      </c>
      <c r="C51" s="89">
        <v>1</v>
      </c>
      <c r="D51" s="20" t="str">
        <f t="shared" si="0"/>
        <v>2D</v>
      </c>
      <c r="E51" s="86" t="str">
        <f t="shared" si="1"/>
        <v>N.A.</v>
      </c>
      <c r="F51" s="20">
        <f t="shared" si="2"/>
        <v>1</v>
      </c>
      <c r="G51" s="22">
        <f t="shared" si="3"/>
        <v>1</v>
      </c>
      <c r="H51" s="20">
        <f t="shared" si="4"/>
        <v>2.4444444444444446E-2</v>
      </c>
      <c r="I51" s="19" t="s">
        <v>52</v>
      </c>
      <c r="J51" s="79">
        <f t="shared" si="5"/>
        <v>0.12</v>
      </c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ht="13.5" x14ac:dyDescent="0.25">
      <c r="A52" s="18">
        <v>44</v>
      </c>
      <c r="B52" s="89">
        <v>1</v>
      </c>
      <c r="C52" s="89">
        <v>1</v>
      </c>
      <c r="D52" s="20" t="str">
        <f t="shared" si="0"/>
        <v>2D</v>
      </c>
      <c r="E52" s="86" t="str">
        <f t="shared" si="1"/>
        <v>N.A.</v>
      </c>
      <c r="F52" s="20">
        <f t="shared" si="2"/>
        <v>1</v>
      </c>
      <c r="G52" s="22">
        <f t="shared" si="3"/>
        <v>1</v>
      </c>
      <c r="H52" s="20">
        <f t="shared" si="4"/>
        <v>2.4444444444444446E-2</v>
      </c>
      <c r="I52" s="19" t="s">
        <v>52</v>
      </c>
      <c r="J52" s="79">
        <f t="shared" si="5"/>
        <v>0.12</v>
      </c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ht="13.5" x14ac:dyDescent="0.25">
      <c r="A53" s="18">
        <v>45</v>
      </c>
      <c r="B53" s="89">
        <v>1</v>
      </c>
      <c r="C53" s="89">
        <v>1</v>
      </c>
      <c r="D53" s="20" t="str">
        <f t="shared" si="0"/>
        <v>2D</v>
      </c>
      <c r="E53" s="86" t="str">
        <f t="shared" si="1"/>
        <v>N.A.</v>
      </c>
      <c r="F53" s="20">
        <f t="shared" si="2"/>
        <v>1</v>
      </c>
      <c r="G53" s="22">
        <f t="shared" si="3"/>
        <v>1</v>
      </c>
      <c r="H53" s="20">
        <f t="shared" si="4"/>
        <v>2.4444444444444446E-2</v>
      </c>
      <c r="I53" s="19" t="s">
        <v>52</v>
      </c>
      <c r="J53" s="79">
        <f t="shared" si="5"/>
        <v>0.12</v>
      </c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ht="13.5" x14ac:dyDescent="0.25">
      <c r="A54" s="18">
        <v>46</v>
      </c>
      <c r="B54" s="89">
        <v>1</v>
      </c>
      <c r="C54" s="89">
        <v>1</v>
      </c>
      <c r="D54" s="20" t="str">
        <f t="shared" si="0"/>
        <v>2D</v>
      </c>
      <c r="E54" s="86" t="str">
        <f t="shared" si="1"/>
        <v>N.A.</v>
      </c>
      <c r="F54" s="20">
        <f t="shared" si="2"/>
        <v>1</v>
      </c>
      <c r="G54" s="22">
        <f t="shared" si="3"/>
        <v>1</v>
      </c>
      <c r="H54" s="20">
        <f t="shared" si="4"/>
        <v>2.4444444444444446E-2</v>
      </c>
      <c r="I54" s="19" t="s">
        <v>52</v>
      </c>
      <c r="J54" s="79">
        <f t="shared" si="5"/>
        <v>0.12</v>
      </c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ht="13.5" x14ac:dyDescent="0.25">
      <c r="A55" s="18">
        <v>47</v>
      </c>
      <c r="B55" s="89">
        <v>1</v>
      </c>
      <c r="C55" s="89">
        <v>1</v>
      </c>
      <c r="D55" s="20" t="str">
        <f t="shared" si="0"/>
        <v>2D</v>
      </c>
      <c r="E55" s="86" t="str">
        <f t="shared" si="1"/>
        <v>N.A.</v>
      </c>
      <c r="F55" s="20">
        <f t="shared" si="2"/>
        <v>1</v>
      </c>
      <c r="G55" s="22">
        <f t="shared" si="3"/>
        <v>1</v>
      </c>
      <c r="H55" s="20">
        <f t="shared" si="4"/>
        <v>2.4444444444444446E-2</v>
      </c>
      <c r="I55" s="19" t="s">
        <v>52</v>
      </c>
      <c r="J55" s="79">
        <f t="shared" si="5"/>
        <v>0.12</v>
      </c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ht="13.5" x14ac:dyDescent="0.25">
      <c r="A56" s="18">
        <v>48</v>
      </c>
      <c r="B56" s="89">
        <v>1</v>
      </c>
      <c r="C56" s="89">
        <v>1</v>
      </c>
      <c r="D56" s="20" t="str">
        <f t="shared" si="0"/>
        <v>2D</v>
      </c>
      <c r="E56" s="86" t="str">
        <f t="shared" si="1"/>
        <v>N.A.</v>
      </c>
      <c r="F56" s="20">
        <f t="shared" si="2"/>
        <v>1</v>
      </c>
      <c r="G56" s="22">
        <f t="shared" si="3"/>
        <v>1</v>
      </c>
      <c r="H56" s="20">
        <f t="shared" si="4"/>
        <v>2.4444444444444446E-2</v>
      </c>
      <c r="I56" s="19" t="s">
        <v>52</v>
      </c>
      <c r="J56" s="79">
        <f t="shared" si="5"/>
        <v>0.12</v>
      </c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ht="13.5" x14ac:dyDescent="0.25">
      <c r="A57" s="18">
        <v>49</v>
      </c>
      <c r="B57" s="89">
        <v>1</v>
      </c>
      <c r="C57" s="89">
        <v>1</v>
      </c>
      <c r="D57" s="20" t="str">
        <f t="shared" si="0"/>
        <v>2D</v>
      </c>
      <c r="E57" s="86" t="str">
        <f t="shared" si="1"/>
        <v>N.A.</v>
      </c>
      <c r="F57" s="20">
        <f t="shared" si="2"/>
        <v>1</v>
      </c>
      <c r="G57" s="22">
        <f t="shared" si="3"/>
        <v>1</v>
      </c>
      <c r="H57" s="20">
        <f t="shared" si="4"/>
        <v>2.4444444444444446E-2</v>
      </c>
      <c r="I57" s="19" t="s">
        <v>52</v>
      </c>
      <c r="J57" s="79">
        <f t="shared" si="5"/>
        <v>0.12</v>
      </c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ht="13.5" x14ac:dyDescent="0.25">
      <c r="A58" s="18">
        <v>50</v>
      </c>
      <c r="B58" s="89">
        <v>1</v>
      </c>
      <c r="C58" s="89">
        <v>1</v>
      </c>
      <c r="D58" s="20" t="str">
        <f t="shared" si="0"/>
        <v>2D</v>
      </c>
      <c r="E58" s="86" t="str">
        <f t="shared" si="1"/>
        <v>N.A.</v>
      </c>
      <c r="F58" s="20">
        <f t="shared" si="2"/>
        <v>1</v>
      </c>
      <c r="G58" s="22">
        <f t="shared" si="3"/>
        <v>1</v>
      </c>
      <c r="H58" s="20">
        <f t="shared" si="4"/>
        <v>2.4444444444444446E-2</v>
      </c>
      <c r="I58" s="19" t="s">
        <v>52</v>
      </c>
      <c r="J58" s="79">
        <f t="shared" si="5"/>
        <v>0.12</v>
      </c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mergeCells count="11">
    <mergeCell ref="B2:D2"/>
    <mergeCell ref="E2:F2"/>
    <mergeCell ref="G2:I2"/>
    <mergeCell ref="B3:D3"/>
    <mergeCell ref="E3:F3"/>
    <mergeCell ref="G3:I3"/>
    <mergeCell ref="N7:R7"/>
    <mergeCell ref="S7:W7"/>
    <mergeCell ref="J3:J4"/>
    <mergeCell ref="F4:I4"/>
    <mergeCell ref="H8:J8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2858-8B5C-46CE-954C-717CC487160D}">
  <sheetPr codeName="Hoja4"/>
  <dimension ref="A1:AC58"/>
  <sheetViews>
    <sheetView topLeftCell="M1" zoomScaleNormal="100" workbookViewId="0">
      <selection activeCell="AD1" sqref="AD1"/>
    </sheetView>
  </sheetViews>
  <sheetFormatPr defaultColWidth="11.42578125" defaultRowHeight="13.5" x14ac:dyDescent="0.25"/>
  <cols>
    <col min="1" max="1" width="14.5703125" style="1" bestFit="1" customWidth="1"/>
    <col min="2" max="8" width="8.5703125" style="1" customWidth="1"/>
    <col min="9" max="9" width="8.42578125" style="1" bestFit="1" customWidth="1"/>
    <col min="10" max="10" width="9" style="1" customWidth="1"/>
    <col min="11" max="11" width="9.140625" style="1" customWidth="1"/>
    <col min="12" max="12" width="6" style="1" bestFit="1" customWidth="1"/>
    <col min="13" max="13" width="5.7109375" style="1" bestFit="1" customWidth="1"/>
    <col min="14" max="14" width="8.42578125" style="1" bestFit="1" customWidth="1"/>
    <col min="15" max="15" width="4.85546875" style="1" bestFit="1" customWidth="1"/>
    <col min="16" max="16" width="5" style="1" hidden="1" customWidth="1"/>
    <col min="17" max="17" width="8.7109375" style="1" bestFit="1" customWidth="1"/>
    <col min="18" max="18" width="5.85546875" style="1" bestFit="1" customWidth="1"/>
    <col min="19" max="19" width="8.7109375" style="1" bestFit="1" customWidth="1"/>
    <col min="20" max="20" width="4.85546875" style="1" bestFit="1" customWidth="1"/>
    <col min="21" max="21" width="6" style="1" hidden="1" customWidth="1"/>
    <col min="22" max="22" width="8.7109375" style="1" bestFit="1" customWidth="1"/>
    <col min="23" max="23" width="6.5703125" style="1" bestFit="1" customWidth="1"/>
    <col min="24" max="25" width="5.7109375" style="1" bestFit="1" customWidth="1"/>
    <col min="26" max="26" width="5.85546875" style="1" bestFit="1" customWidth="1"/>
    <col min="27" max="27" width="6" style="1" bestFit="1" customWidth="1"/>
    <col min="28" max="29" width="0" style="1" hidden="1" customWidth="1"/>
    <col min="30" max="16384" width="11.42578125" style="1"/>
  </cols>
  <sheetData>
    <row r="1" spans="1:29" ht="14.25" thickBot="1" x14ac:dyDescent="0.3">
      <c r="AB1" t="str">
        <f t="array" aca="1" ref="AB1" ca="1">_xlfn.TEXTAFTER(CELL("filename",S2),"]")</f>
        <v>Espesor Techo</v>
      </c>
    </row>
    <row r="2" spans="1:29" ht="18" customHeight="1" x14ac:dyDescent="0.25">
      <c r="A2" s="7"/>
      <c r="B2" s="214" t="str">
        <f>'Espesor Earlette'!B2:D2</f>
        <v>INGENIERO DEMO</v>
      </c>
      <c r="C2" s="214"/>
      <c r="D2" s="215"/>
      <c r="E2" s="216" t="s">
        <v>0</v>
      </c>
      <c r="F2" s="217"/>
      <c r="G2" s="218" t="str">
        <f>'Espesor Earlette'!G2:I2</f>
        <v>Proyecto Demo</v>
      </c>
      <c r="H2" s="218"/>
      <c r="I2" s="219"/>
      <c r="J2" s="8" t="s">
        <v>1</v>
      </c>
      <c r="AB2" t="str">
        <f ca="1">_xlfn.TEXTAFTER(AB1,"Espesor")</f>
        <v xml:space="preserve"> Techo</v>
      </c>
      <c r="AC2" t="str">
        <f ca="1">_xlfn.CONCAT(AB2," ","/")</f>
        <v xml:space="preserve"> Techo /</v>
      </c>
    </row>
    <row r="3" spans="1:29" ht="18" customHeight="1" x14ac:dyDescent="0.25">
      <c r="A3" s="9"/>
      <c r="B3" s="11"/>
      <c r="C3" s="55" t="str">
        <f>'Espesor Earlette'!B3</f>
        <v>INGENIERO CIVIL</v>
      </c>
      <c r="D3" s="60"/>
      <c r="E3" s="200" t="s">
        <v>3</v>
      </c>
      <c r="F3" s="201"/>
      <c r="G3" s="220">
        <f>'Espesor Earlette'!G3:I3</f>
        <v>45904</v>
      </c>
      <c r="H3" s="221"/>
      <c r="I3" s="222"/>
      <c r="J3" s="202">
        <v>1</v>
      </c>
    </row>
    <row r="4" spans="1:29" ht="18" customHeight="1" thickBot="1" x14ac:dyDescent="0.3">
      <c r="A4" s="10"/>
      <c r="B4" s="56" t="s">
        <v>102</v>
      </c>
      <c r="C4" s="53">
        <f>'Espesor Earlette'!C4</f>
        <v>0</v>
      </c>
      <c r="D4" s="54"/>
      <c r="E4" s="12" t="s">
        <v>4</v>
      </c>
      <c r="F4" s="223" t="str">
        <f ca="1">_xlfn.CONCAT("Espesor"," ","de"," ","Losas"," ",AB2)</f>
        <v>Espesor de Losas  Techo</v>
      </c>
      <c r="G4" s="224"/>
      <c r="H4" s="224"/>
      <c r="I4" s="225"/>
      <c r="J4" s="203"/>
    </row>
    <row r="5" spans="1:29" x14ac:dyDescent="0.25">
      <c r="A5" s="61"/>
      <c r="E5" s="61"/>
      <c r="F5" s="61"/>
      <c r="G5" s="61"/>
      <c r="H5" s="61"/>
      <c r="I5" s="61"/>
      <c r="J5" s="61"/>
    </row>
    <row r="6" spans="1:29" x14ac:dyDescent="0.25">
      <c r="A6" s="19" t="s">
        <v>53</v>
      </c>
      <c r="B6" s="62">
        <f>IF(COUNTIFS(C9:C58,"&lt;&gt;1", B9:B58,"&lt;&gt;1")=0, 50, COUNTIFS(C9:C58,"&lt;&gt;1", B9:B58,"&lt;&gt;1"))</f>
        <v>50</v>
      </c>
      <c r="C6" s="19" t="s">
        <v>42</v>
      </c>
      <c r="D6" s="63">
        <v>4200</v>
      </c>
      <c r="E6" s="61" t="s">
        <v>103</v>
      </c>
      <c r="H6" s="61"/>
      <c r="I6" s="61"/>
      <c r="J6" s="61"/>
    </row>
    <row r="7" spans="1:29" ht="14.25" thickBot="1" x14ac:dyDescent="0.3">
      <c r="C7" s="61"/>
      <c r="D7" s="61"/>
      <c r="E7" s="61"/>
      <c r="F7" s="61"/>
      <c r="G7" s="61"/>
      <c r="H7" s="61"/>
      <c r="I7" s="61"/>
      <c r="J7" s="61"/>
      <c r="L7" s="153"/>
      <c r="M7"/>
      <c r="N7" s="185" t="s">
        <v>145</v>
      </c>
      <c r="O7" s="185"/>
      <c r="P7" s="185"/>
      <c r="Q7" s="185"/>
      <c r="R7" s="185"/>
      <c r="S7" s="186" t="s">
        <v>60</v>
      </c>
      <c r="T7" s="185"/>
      <c r="U7" s="185"/>
      <c r="V7" s="185"/>
      <c r="W7" s="185"/>
      <c r="X7" s="6"/>
      <c r="Y7" s="6"/>
      <c r="Z7" s="6"/>
      <c r="AA7"/>
    </row>
    <row r="8" spans="1:29" ht="18.75" customHeight="1" thickTop="1" thickBot="1" x14ac:dyDescent="0.3">
      <c r="A8" s="82" t="s">
        <v>44</v>
      </c>
      <c r="B8" s="83" t="s">
        <v>45</v>
      </c>
      <c r="C8" s="83" t="s">
        <v>46</v>
      </c>
      <c r="D8" s="83" t="s">
        <v>47</v>
      </c>
      <c r="E8" s="83" t="s">
        <v>48</v>
      </c>
      <c r="F8" s="83" t="s">
        <v>49</v>
      </c>
      <c r="G8" s="84" t="s">
        <v>50</v>
      </c>
      <c r="H8" s="188" t="s">
        <v>51</v>
      </c>
      <c r="I8" s="188"/>
      <c r="J8" s="213"/>
      <c r="L8" s="150" t="s">
        <v>138</v>
      </c>
      <c r="M8" s="150" t="s">
        <v>139</v>
      </c>
      <c r="N8" s="150" t="s">
        <v>140</v>
      </c>
      <c r="O8" s="150" t="s">
        <v>141</v>
      </c>
      <c r="P8" s="150" t="s">
        <v>142</v>
      </c>
      <c r="Q8" s="150" t="s">
        <v>143</v>
      </c>
      <c r="R8" s="150" t="s">
        <v>144</v>
      </c>
      <c r="S8" s="150" t="s">
        <v>140</v>
      </c>
      <c r="T8" s="150" t="s">
        <v>141</v>
      </c>
      <c r="U8" s="150" t="s">
        <v>142</v>
      </c>
      <c r="V8" s="150" t="s">
        <v>143</v>
      </c>
      <c r="W8" s="150" t="s">
        <v>144</v>
      </c>
      <c r="X8" s="150" t="s">
        <v>145</v>
      </c>
      <c r="Y8" s="150" t="s">
        <v>60</v>
      </c>
      <c r="Z8" s="150" t="s">
        <v>146</v>
      </c>
      <c r="AA8" s="150" t="s">
        <v>139</v>
      </c>
    </row>
    <row r="9" spans="1:29" ht="14.25" thickTop="1" x14ac:dyDescent="0.25">
      <c r="A9" s="18">
        <v>1</v>
      </c>
      <c r="B9" s="89">
        <v>1</v>
      </c>
      <c r="C9" s="89">
        <v>1</v>
      </c>
      <c r="D9" s="20" t="str">
        <f>IF((MAX(B9:C9)/MIN(B9:C9))&gt;2,"1D","2D")</f>
        <v>2D</v>
      </c>
      <c r="E9" s="86" t="str">
        <f>IF(D9="2D","N.A.",10)</f>
        <v>N.A.</v>
      </c>
      <c r="F9" s="20">
        <f>IF(D9="1D",MIN(B9:C9),MAX(B9:C9))</f>
        <v>1</v>
      </c>
      <c r="G9" s="22">
        <f>MAX(B9:C9)/MIN(B9:C9)</f>
        <v>1</v>
      </c>
      <c r="H9" s="20">
        <f>IF(D9="2d",(F9*(0.8+($D$6/14000)))/(36+9*G9),F9/E9)</f>
        <v>2.4444444444444446E-2</v>
      </c>
      <c r="I9" s="19" t="s">
        <v>52</v>
      </c>
      <c r="J9" s="79">
        <f>MAX(0.12,ROUND(H9,2))</f>
        <v>0.12</v>
      </c>
      <c r="L9" s="158">
        <v>0.3</v>
      </c>
      <c r="M9" s="158">
        <v>0.6</v>
      </c>
      <c r="N9" s="156">
        <f>+F9*J9*J9*J9/12</f>
        <v>1.44E-4</v>
      </c>
      <c r="O9" s="151">
        <f>+IF(4*J9&gt;=M9-J9,M9-J9,4*J9)*2+L9</f>
        <v>1.26</v>
      </c>
      <c r="P9" s="151">
        <f>+M9-(0.5*(((O9-L9)*J9*J9)+L9*M9*M9)/((O9-L9)*J9+L9*M9))</f>
        <v>0.39365853658536587</v>
      </c>
      <c r="Q9" s="156">
        <f>+(O9-L9)*J9*J9*J9/12+L9*M9*M9*M9/12+(O9-L9)*J9*POWER(M9-J9*0.5-P9,2)+L9*M9*POWER(P9-0.5*M9,2)</f>
        <v>9.5842887804878062E-3</v>
      </c>
      <c r="R9" s="152">
        <f>+Q9/N9</f>
        <v>66.557560975609761</v>
      </c>
      <c r="S9" s="156">
        <f>+F9*J9*J9*J9*0.5/12</f>
        <v>7.2000000000000002E-5</v>
      </c>
      <c r="T9" s="155">
        <f>+IF(4*J9&gt;=M9-J9,M9-J9,4*J9)+L9</f>
        <v>0.78</v>
      </c>
      <c r="U9" s="154">
        <f>+M9-(0.5*(((T9-L9)*J9*J9)+L9*M9*M9)/((T9-L9)*J9+L9*M9))</f>
        <v>0.35818181818181816</v>
      </c>
      <c r="V9" s="156">
        <f>+(T9-L9)*J9*J9*J9/12+L9*M9*M9*M9/12+(T9-L9)*J9*POWER(M9-J9*0.5-U9,2)+L9*M9*POWER(U9-0.5*M9,2)</f>
        <v>7.9825745454545453E-3</v>
      </c>
      <c r="W9" s="152">
        <f>+V9/S9</f>
        <v>110.8690909090909</v>
      </c>
      <c r="X9" s="158">
        <v>2</v>
      </c>
      <c r="Y9" s="158">
        <v>2</v>
      </c>
      <c r="Z9" s="151">
        <f>+(X9*R9+Y9*W9)/4</f>
        <v>88.713325942350338</v>
      </c>
      <c r="AA9" s="154">
        <f>+(F9*(0.8+($D$6/14000)))/(36+5*((IF(Z9&gt;2,2,Z9))-0.2)*G9)</f>
        <v>2.4444444444444446E-2</v>
      </c>
    </row>
    <row r="10" spans="1:29" x14ac:dyDescent="0.25">
      <c r="A10" s="18">
        <v>2</v>
      </c>
      <c r="B10" s="89">
        <v>1</v>
      </c>
      <c r="C10" s="89">
        <v>1</v>
      </c>
      <c r="D10" s="20" t="str">
        <f t="shared" ref="D10:D58" si="0">IF((MAX(B10:C10)/MIN(B10:C10))&gt;2,"1D","2D")</f>
        <v>2D</v>
      </c>
      <c r="E10" s="86" t="str">
        <f t="shared" ref="E10:E58" si="1">IF(D10="2D","N.A.",10)</f>
        <v>N.A.</v>
      </c>
      <c r="F10" s="20">
        <f t="shared" ref="F10:F58" si="2">IF(D10="1D",MIN(B10:C10),MAX(B10:C10))</f>
        <v>1</v>
      </c>
      <c r="G10" s="22">
        <f t="shared" ref="G10:G58" si="3">MAX(B10:C10)/MIN(B10:C10)</f>
        <v>1</v>
      </c>
      <c r="H10" s="20">
        <f t="shared" ref="H10:H58" si="4">IF(D10="2d",(F10*(0.8+($D$6/14000)))/(36+9*G10),F10/E10)</f>
        <v>2.4444444444444446E-2</v>
      </c>
      <c r="I10" s="19" t="s">
        <v>52</v>
      </c>
      <c r="J10" s="79">
        <f t="shared" ref="J10:J58" si="5">MAX(0.12,ROUND(H10,2))</f>
        <v>0.12</v>
      </c>
      <c r="L10" s="158">
        <v>0.3</v>
      </c>
      <c r="M10" s="158">
        <v>0.6</v>
      </c>
      <c r="N10" s="156">
        <f t="shared" ref="N10:N58" si="6">+F10*J10*J10*J10/12</f>
        <v>1.44E-4</v>
      </c>
      <c r="O10" s="151">
        <f t="shared" ref="O10:O58" si="7">+IF(4*J10&gt;=M10-J10,M10-J10,4*J10)*2+L10</f>
        <v>1.26</v>
      </c>
      <c r="P10" s="151">
        <f t="shared" ref="P10:P58" si="8">+M10-(0.5*(((O10-L10)*J10*J10)+L10*M10*M10)/((O10-L10)*J10+L10*M10))</f>
        <v>0.39365853658536587</v>
      </c>
      <c r="Q10" s="156">
        <f t="shared" ref="Q10:Q58" si="9">+(O10-L10)*J10*J10*J10/12+L10*M10*M10*M10/12+(O10-L10)*J10*POWER(M10-J10*0.5-P10,2)+L10*M10*POWER(P10-0.5*M10,2)</f>
        <v>9.5842887804878062E-3</v>
      </c>
      <c r="R10" s="152">
        <f t="shared" ref="R10:R58" si="10">+Q10/N10</f>
        <v>66.557560975609761</v>
      </c>
      <c r="S10" s="156">
        <f t="shared" ref="S10:S58" si="11">+F10*J10*J10*J10*0.5/12</f>
        <v>7.2000000000000002E-5</v>
      </c>
      <c r="T10" s="155">
        <f t="shared" ref="T10:T58" si="12">+IF(4*J10&gt;=M10-J10,M10-J10,4*J10)+L10</f>
        <v>0.78</v>
      </c>
      <c r="U10" s="154">
        <f t="shared" ref="U10:U58" si="13">+M10-(0.5*(((T10-L10)*J10*J10)+L10*M10*M10)/((T10-L10)*J10+L10*M10))</f>
        <v>0.35818181818181816</v>
      </c>
      <c r="V10" s="156">
        <f t="shared" ref="V10:V58" si="14">+(T10-L10)*J10*J10*J10/12+L10*M10*M10*M10/12+(T10-L10)*J10*POWER(M10-J10*0.5-U10,2)+L10*M10*POWER(U10-0.5*M10,2)</f>
        <v>7.9825745454545453E-3</v>
      </c>
      <c r="W10" s="152">
        <f t="shared" ref="W10:W58" si="15">+V10/S10</f>
        <v>110.8690909090909</v>
      </c>
      <c r="X10" s="158">
        <v>2</v>
      </c>
      <c r="Y10" s="158">
        <v>2</v>
      </c>
      <c r="Z10" s="151">
        <f t="shared" ref="Z10:Z58" si="16">+(X10*R10+Y10*W10)/4</f>
        <v>88.713325942350338</v>
      </c>
      <c r="AA10" s="154">
        <f t="shared" ref="AA10:AA58" si="17">+(F10*(0.8+($D$6/14000)))/(36+5*((IF(Z10&gt;2,2,Z10))-0.2)*G10)</f>
        <v>2.4444444444444446E-2</v>
      </c>
    </row>
    <row r="11" spans="1:29" x14ac:dyDescent="0.25">
      <c r="A11" s="18">
        <v>3</v>
      </c>
      <c r="B11" s="89">
        <v>1</v>
      </c>
      <c r="C11" s="89">
        <v>1</v>
      </c>
      <c r="D11" s="20" t="str">
        <f t="shared" si="0"/>
        <v>2D</v>
      </c>
      <c r="E11" s="86" t="str">
        <f t="shared" si="1"/>
        <v>N.A.</v>
      </c>
      <c r="F11" s="20">
        <f t="shared" si="2"/>
        <v>1</v>
      </c>
      <c r="G11" s="22">
        <f t="shared" si="3"/>
        <v>1</v>
      </c>
      <c r="H11" s="20">
        <f t="shared" si="4"/>
        <v>2.4444444444444446E-2</v>
      </c>
      <c r="I11" s="19" t="s">
        <v>52</v>
      </c>
      <c r="J11" s="79">
        <f t="shared" si="5"/>
        <v>0.12</v>
      </c>
      <c r="L11" s="158">
        <v>0.3</v>
      </c>
      <c r="M11" s="158">
        <v>0.6</v>
      </c>
      <c r="N11" s="156">
        <f t="shared" si="6"/>
        <v>1.44E-4</v>
      </c>
      <c r="O11" s="151">
        <f t="shared" si="7"/>
        <v>1.26</v>
      </c>
      <c r="P11" s="151">
        <f t="shared" si="8"/>
        <v>0.39365853658536587</v>
      </c>
      <c r="Q11" s="156">
        <f t="shared" si="9"/>
        <v>9.5842887804878062E-3</v>
      </c>
      <c r="R11" s="152">
        <f t="shared" si="10"/>
        <v>66.557560975609761</v>
      </c>
      <c r="S11" s="156">
        <f t="shared" si="11"/>
        <v>7.2000000000000002E-5</v>
      </c>
      <c r="T11" s="155">
        <f t="shared" si="12"/>
        <v>0.78</v>
      </c>
      <c r="U11" s="154">
        <f t="shared" si="13"/>
        <v>0.35818181818181816</v>
      </c>
      <c r="V11" s="156">
        <f t="shared" si="14"/>
        <v>7.9825745454545453E-3</v>
      </c>
      <c r="W11" s="152">
        <f t="shared" si="15"/>
        <v>110.8690909090909</v>
      </c>
      <c r="X11" s="158">
        <v>2</v>
      </c>
      <c r="Y11" s="158">
        <v>2</v>
      </c>
      <c r="Z11" s="151">
        <f t="shared" si="16"/>
        <v>88.713325942350338</v>
      </c>
      <c r="AA11" s="154">
        <f t="shared" si="17"/>
        <v>2.4444444444444446E-2</v>
      </c>
    </row>
    <row r="12" spans="1:29" x14ac:dyDescent="0.25">
      <c r="A12" s="18">
        <v>4</v>
      </c>
      <c r="B12" s="89">
        <v>1</v>
      </c>
      <c r="C12" s="89">
        <v>1</v>
      </c>
      <c r="D12" s="20" t="str">
        <f t="shared" si="0"/>
        <v>2D</v>
      </c>
      <c r="E12" s="86" t="str">
        <f t="shared" si="1"/>
        <v>N.A.</v>
      </c>
      <c r="F12" s="20">
        <f t="shared" si="2"/>
        <v>1</v>
      </c>
      <c r="G12" s="22">
        <f t="shared" si="3"/>
        <v>1</v>
      </c>
      <c r="H12" s="20">
        <f t="shared" si="4"/>
        <v>2.4444444444444446E-2</v>
      </c>
      <c r="I12" s="19" t="s">
        <v>52</v>
      </c>
      <c r="J12" s="79">
        <f t="shared" si="5"/>
        <v>0.12</v>
      </c>
      <c r="L12" s="158">
        <v>0.3</v>
      </c>
      <c r="M12" s="158">
        <v>0.6</v>
      </c>
      <c r="N12" s="156">
        <f t="shared" si="6"/>
        <v>1.44E-4</v>
      </c>
      <c r="O12" s="151">
        <f t="shared" si="7"/>
        <v>1.26</v>
      </c>
      <c r="P12" s="151">
        <f t="shared" si="8"/>
        <v>0.39365853658536587</v>
      </c>
      <c r="Q12" s="156">
        <f t="shared" si="9"/>
        <v>9.5842887804878062E-3</v>
      </c>
      <c r="R12" s="152">
        <f t="shared" si="10"/>
        <v>66.557560975609761</v>
      </c>
      <c r="S12" s="156">
        <f t="shared" si="11"/>
        <v>7.2000000000000002E-5</v>
      </c>
      <c r="T12" s="155">
        <f t="shared" si="12"/>
        <v>0.78</v>
      </c>
      <c r="U12" s="154">
        <f t="shared" si="13"/>
        <v>0.35818181818181816</v>
      </c>
      <c r="V12" s="156">
        <f t="shared" si="14"/>
        <v>7.9825745454545453E-3</v>
      </c>
      <c r="W12" s="152">
        <f t="shared" si="15"/>
        <v>110.8690909090909</v>
      </c>
      <c r="X12" s="158">
        <v>2</v>
      </c>
      <c r="Y12" s="158">
        <v>2</v>
      </c>
      <c r="Z12" s="151">
        <f t="shared" si="16"/>
        <v>88.713325942350338</v>
      </c>
      <c r="AA12" s="154">
        <f t="shared" si="17"/>
        <v>2.4444444444444446E-2</v>
      </c>
    </row>
    <row r="13" spans="1:29" x14ac:dyDescent="0.25">
      <c r="A13" s="18">
        <v>5</v>
      </c>
      <c r="B13" s="89">
        <v>1</v>
      </c>
      <c r="C13" s="89">
        <v>1</v>
      </c>
      <c r="D13" s="20" t="str">
        <f t="shared" si="0"/>
        <v>2D</v>
      </c>
      <c r="E13" s="86" t="str">
        <f t="shared" si="1"/>
        <v>N.A.</v>
      </c>
      <c r="F13" s="20">
        <f t="shared" si="2"/>
        <v>1</v>
      </c>
      <c r="G13" s="22">
        <f t="shared" si="3"/>
        <v>1</v>
      </c>
      <c r="H13" s="20">
        <f t="shared" si="4"/>
        <v>2.4444444444444446E-2</v>
      </c>
      <c r="I13" s="19" t="s">
        <v>52</v>
      </c>
      <c r="J13" s="79">
        <f t="shared" si="5"/>
        <v>0.12</v>
      </c>
      <c r="L13" s="158">
        <v>0.3</v>
      </c>
      <c r="M13" s="158">
        <v>0.6</v>
      </c>
      <c r="N13" s="156">
        <f t="shared" si="6"/>
        <v>1.44E-4</v>
      </c>
      <c r="O13" s="151">
        <f t="shared" si="7"/>
        <v>1.26</v>
      </c>
      <c r="P13" s="151">
        <f t="shared" si="8"/>
        <v>0.39365853658536587</v>
      </c>
      <c r="Q13" s="156">
        <f t="shared" si="9"/>
        <v>9.5842887804878062E-3</v>
      </c>
      <c r="R13" s="152">
        <f t="shared" si="10"/>
        <v>66.557560975609761</v>
      </c>
      <c r="S13" s="156">
        <f t="shared" si="11"/>
        <v>7.2000000000000002E-5</v>
      </c>
      <c r="T13" s="155">
        <f t="shared" si="12"/>
        <v>0.78</v>
      </c>
      <c r="U13" s="154">
        <f t="shared" si="13"/>
        <v>0.35818181818181816</v>
      </c>
      <c r="V13" s="156">
        <f t="shared" si="14"/>
        <v>7.9825745454545453E-3</v>
      </c>
      <c r="W13" s="152">
        <f t="shared" si="15"/>
        <v>110.8690909090909</v>
      </c>
      <c r="X13" s="158">
        <v>2</v>
      </c>
      <c r="Y13" s="158">
        <v>2</v>
      </c>
      <c r="Z13" s="151">
        <f t="shared" si="16"/>
        <v>88.713325942350338</v>
      </c>
      <c r="AA13" s="154">
        <f t="shared" si="17"/>
        <v>2.4444444444444446E-2</v>
      </c>
    </row>
    <row r="14" spans="1:29" x14ac:dyDescent="0.25">
      <c r="A14" s="18">
        <v>6</v>
      </c>
      <c r="B14" s="89">
        <v>1</v>
      </c>
      <c r="C14" s="89">
        <v>1</v>
      </c>
      <c r="D14" s="20" t="str">
        <f t="shared" si="0"/>
        <v>2D</v>
      </c>
      <c r="E14" s="86" t="str">
        <f t="shared" si="1"/>
        <v>N.A.</v>
      </c>
      <c r="F14" s="20">
        <f t="shared" si="2"/>
        <v>1</v>
      </c>
      <c r="G14" s="22">
        <f t="shared" si="3"/>
        <v>1</v>
      </c>
      <c r="H14" s="20">
        <f t="shared" si="4"/>
        <v>2.4444444444444446E-2</v>
      </c>
      <c r="I14" s="19" t="s">
        <v>52</v>
      </c>
      <c r="J14" s="79">
        <f t="shared" si="5"/>
        <v>0.12</v>
      </c>
      <c r="L14" s="158">
        <v>0.3</v>
      </c>
      <c r="M14" s="158">
        <v>0.6</v>
      </c>
      <c r="N14" s="156">
        <f t="shared" si="6"/>
        <v>1.44E-4</v>
      </c>
      <c r="O14" s="151">
        <f t="shared" si="7"/>
        <v>1.26</v>
      </c>
      <c r="P14" s="151">
        <f t="shared" si="8"/>
        <v>0.39365853658536587</v>
      </c>
      <c r="Q14" s="156">
        <f t="shared" si="9"/>
        <v>9.5842887804878062E-3</v>
      </c>
      <c r="R14" s="152">
        <f t="shared" si="10"/>
        <v>66.557560975609761</v>
      </c>
      <c r="S14" s="156">
        <f t="shared" si="11"/>
        <v>7.2000000000000002E-5</v>
      </c>
      <c r="T14" s="155">
        <f t="shared" si="12"/>
        <v>0.78</v>
      </c>
      <c r="U14" s="154">
        <f t="shared" si="13"/>
        <v>0.35818181818181816</v>
      </c>
      <c r="V14" s="156">
        <f t="shared" si="14"/>
        <v>7.9825745454545453E-3</v>
      </c>
      <c r="W14" s="152">
        <f t="shared" si="15"/>
        <v>110.8690909090909</v>
      </c>
      <c r="X14" s="158">
        <v>2</v>
      </c>
      <c r="Y14" s="158">
        <v>2</v>
      </c>
      <c r="Z14" s="151">
        <f t="shared" si="16"/>
        <v>88.713325942350338</v>
      </c>
      <c r="AA14" s="154">
        <f t="shared" si="17"/>
        <v>2.4444444444444446E-2</v>
      </c>
    </row>
    <row r="15" spans="1:29" x14ac:dyDescent="0.25">
      <c r="A15" s="18">
        <v>7</v>
      </c>
      <c r="B15" s="89">
        <v>1</v>
      </c>
      <c r="C15" s="89">
        <v>1</v>
      </c>
      <c r="D15" s="20" t="str">
        <f t="shared" si="0"/>
        <v>2D</v>
      </c>
      <c r="E15" s="86" t="str">
        <f t="shared" si="1"/>
        <v>N.A.</v>
      </c>
      <c r="F15" s="20">
        <f t="shared" si="2"/>
        <v>1</v>
      </c>
      <c r="G15" s="22">
        <f t="shared" si="3"/>
        <v>1</v>
      </c>
      <c r="H15" s="20">
        <f t="shared" si="4"/>
        <v>2.4444444444444446E-2</v>
      </c>
      <c r="I15" s="19" t="s">
        <v>52</v>
      </c>
      <c r="J15" s="79">
        <f t="shared" si="5"/>
        <v>0.12</v>
      </c>
      <c r="L15" s="158">
        <v>0.3</v>
      </c>
      <c r="M15" s="158">
        <v>0.6</v>
      </c>
      <c r="N15" s="156">
        <f t="shared" si="6"/>
        <v>1.44E-4</v>
      </c>
      <c r="O15" s="151">
        <f t="shared" si="7"/>
        <v>1.26</v>
      </c>
      <c r="P15" s="151">
        <f t="shared" si="8"/>
        <v>0.39365853658536587</v>
      </c>
      <c r="Q15" s="156">
        <f t="shared" si="9"/>
        <v>9.5842887804878062E-3</v>
      </c>
      <c r="R15" s="152">
        <f t="shared" si="10"/>
        <v>66.557560975609761</v>
      </c>
      <c r="S15" s="156">
        <f t="shared" si="11"/>
        <v>7.2000000000000002E-5</v>
      </c>
      <c r="T15" s="155">
        <f t="shared" si="12"/>
        <v>0.78</v>
      </c>
      <c r="U15" s="154">
        <f t="shared" si="13"/>
        <v>0.35818181818181816</v>
      </c>
      <c r="V15" s="156">
        <f t="shared" si="14"/>
        <v>7.9825745454545453E-3</v>
      </c>
      <c r="W15" s="152">
        <f t="shared" si="15"/>
        <v>110.8690909090909</v>
      </c>
      <c r="X15" s="158">
        <v>2</v>
      </c>
      <c r="Y15" s="158">
        <v>2</v>
      </c>
      <c r="Z15" s="151">
        <f t="shared" si="16"/>
        <v>88.713325942350338</v>
      </c>
      <c r="AA15" s="154">
        <f t="shared" si="17"/>
        <v>2.4444444444444446E-2</v>
      </c>
    </row>
    <row r="16" spans="1:29" x14ac:dyDescent="0.25">
      <c r="A16" s="18">
        <v>8</v>
      </c>
      <c r="B16" s="89">
        <v>1</v>
      </c>
      <c r="C16" s="89">
        <v>1</v>
      </c>
      <c r="D16" s="20" t="str">
        <f t="shared" si="0"/>
        <v>2D</v>
      </c>
      <c r="E16" s="86" t="str">
        <f t="shared" si="1"/>
        <v>N.A.</v>
      </c>
      <c r="F16" s="20">
        <f t="shared" si="2"/>
        <v>1</v>
      </c>
      <c r="G16" s="22">
        <f t="shared" si="3"/>
        <v>1</v>
      </c>
      <c r="H16" s="20">
        <f t="shared" si="4"/>
        <v>2.4444444444444446E-2</v>
      </c>
      <c r="I16" s="19" t="s">
        <v>52</v>
      </c>
      <c r="J16" s="79">
        <f t="shared" si="5"/>
        <v>0.12</v>
      </c>
      <c r="L16" s="158">
        <v>0.3</v>
      </c>
      <c r="M16" s="158">
        <v>0.6</v>
      </c>
      <c r="N16" s="156">
        <f t="shared" si="6"/>
        <v>1.44E-4</v>
      </c>
      <c r="O16" s="151">
        <f t="shared" si="7"/>
        <v>1.26</v>
      </c>
      <c r="P16" s="151">
        <f t="shared" si="8"/>
        <v>0.39365853658536587</v>
      </c>
      <c r="Q16" s="156">
        <f t="shared" si="9"/>
        <v>9.5842887804878062E-3</v>
      </c>
      <c r="R16" s="152">
        <f t="shared" si="10"/>
        <v>66.557560975609761</v>
      </c>
      <c r="S16" s="156">
        <f t="shared" si="11"/>
        <v>7.2000000000000002E-5</v>
      </c>
      <c r="T16" s="155">
        <f t="shared" si="12"/>
        <v>0.78</v>
      </c>
      <c r="U16" s="154">
        <f t="shared" si="13"/>
        <v>0.35818181818181816</v>
      </c>
      <c r="V16" s="156">
        <f t="shared" si="14"/>
        <v>7.9825745454545453E-3</v>
      </c>
      <c r="W16" s="152">
        <f t="shared" si="15"/>
        <v>110.8690909090909</v>
      </c>
      <c r="X16" s="158">
        <v>2</v>
      </c>
      <c r="Y16" s="158">
        <v>2</v>
      </c>
      <c r="Z16" s="151">
        <f t="shared" si="16"/>
        <v>88.713325942350338</v>
      </c>
      <c r="AA16" s="154">
        <f t="shared" si="17"/>
        <v>2.4444444444444446E-2</v>
      </c>
    </row>
    <row r="17" spans="1:27" x14ac:dyDescent="0.25">
      <c r="A17" s="18">
        <v>9</v>
      </c>
      <c r="B17" s="89">
        <v>1</v>
      </c>
      <c r="C17" s="89">
        <v>1</v>
      </c>
      <c r="D17" s="20" t="str">
        <f t="shared" si="0"/>
        <v>2D</v>
      </c>
      <c r="E17" s="86" t="str">
        <f t="shared" si="1"/>
        <v>N.A.</v>
      </c>
      <c r="F17" s="20">
        <f t="shared" si="2"/>
        <v>1</v>
      </c>
      <c r="G17" s="22">
        <f t="shared" si="3"/>
        <v>1</v>
      </c>
      <c r="H17" s="20">
        <f t="shared" si="4"/>
        <v>2.4444444444444446E-2</v>
      </c>
      <c r="I17" s="19" t="s">
        <v>52</v>
      </c>
      <c r="J17" s="79">
        <f t="shared" si="5"/>
        <v>0.12</v>
      </c>
      <c r="L17" s="158">
        <v>0.3</v>
      </c>
      <c r="M17" s="158">
        <v>0.6</v>
      </c>
      <c r="N17" s="156">
        <f t="shared" si="6"/>
        <v>1.44E-4</v>
      </c>
      <c r="O17" s="151">
        <f t="shared" si="7"/>
        <v>1.26</v>
      </c>
      <c r="P17" s="151">
        <f t="shared" si="8"/>
        <v>0.39365853658536587</v>
      </c>
      <c r="Q17" s="156">
        <f t="shared" si="9"/>
        <v>9.5842887804878062E-3</v>
      </c>
      <c r="R17" s="152">
        <f t="shared" si="10"/>
        <v>66.557560975609761</v>
      </c>
      <c r="S17" s="156">
        <f t="shared" si="11"/>
        <v>7.2000000000000002E-5</v>
      </c>
      <c r="T17" s="155">
        <f t="shared" si="12"/>
        <v>0.78</v>
      </c>
      <c r="U17" s="154">
        <f t="shared" si="13"/>
        <v>0.35818181818181816</v>
      </c>
      <c r="V17" s="156">
        <f t="shared" si="14"/>
        <v>7.9825745454545453E-3</v>
      </c>
      <c r="W17" s="152">
        <f t="shared" si="15"/>
        <v>110.8690909090909</v>
      </c>
      <c r="X17" s="158">
        <v>2</v>
      </c>
      <c r="Y17" s="158">
        <v>2</v>
      </c>
      <c r="Z17" s="151">
        <f t="shared" si="16"/>
        <v>88.713325942350338</v>
      </c>
      <c r="AA17" s="154">
        <f t="shared" si="17"/>
        <v>2.4444444444444446E-2</v>
      </c>
    </row>
    <row r="18" spans="1:27" x14ac:dyDescent="0.25">
      <c r="A18" s="18">
        <v>10</v>
      </c>
      <c r="B18" s="89">
        <v>1</v>
      </c>
      <c r="C18" s="89">
        <v>1</v>
      </c>
      <c r="D18" s="20" t="str">
        <f t="shared" si="0"/>
        <v>2D</v>
      </c>
      <c r="E18" s="86" t="str">
        <f t="shared" si="1"/>
        <v>N.A.</v>
      </c>
      <c r="F18" s="20">
        <f t="shared" si="2"/>
        <v>1</v>
      </c>
      <c r="G18" s="22">
        <f t="shared" si="3"/>
        <v>1</v>
      </c>
      <c r="H18" s="20">
        <f t="shared" si="4"/>
        <v>2.4444444444444446E-2</v>
      </c>
      <c r="I18" s="19" t="s">
        <v>52</v>
      </c>
      <c r="J18" s="79">
        <f t="shared" si="5"/>
        <v>0.12</v>
      </c>
      <c r="L18" s="158">
        <v>0.3</v>
      </c>
      <c r="M18" s="158">
        <v>0.6</v>
      </c>
      <c r="N18" s="156">
        <f t="shared" si="6"/>
        <v>1.44E-4</v>
      </c>
      <c r="O18" s="151">
        <f t="shared" si="7"/>
        <v>1.26</v>
      </c>
      <c r="P18" s="151">
        <f t="shared" si="8"/>
        <v>0.39365853658536587</v>
      </c>
      <c r="Q18" s="156">
        <f t="shared" si="9"/>
        <v>9.5842887804878062E-3</v>
      </c>
      <c r="R18" s="152">
        <f t="shared" si="10"/>
        <v>66.557560975609761</v>
      </c>
      <c r="S18" s="156">
        <f t="shared" si="11"/>
        <v>7.2000000000000002E-5</v>
      </c>
      <c r="T18" s="155">
        <f t="shared" si="12"/>
        <v>0.78</v>
      </c>
      <c r="U18" s="154">
        <f t="shared" si="13"/>
        <v>0.35818181818181816</v>
      </c>
      <c r="V18" s="156">
        <f t="shared" si="14"/>
        <v>7.9825745454545453E-3</v>
      </c>
      <c r="W18" s="152">
        <f t="shared" si="15"/>
        <v>110.8690909090909</v>
      </c>
      <c r="X18" s="158">
        <v>2</v>
      </c>
      <c r="Y18" s="158">
        <v>2</v>
      </c>
      <c r="Z18" s="151">
        <f t="shared" si="16"/>
        <v>88.713325942350338</v>
      </c>
      <c r="AA18" s="154">
        <f t="shared" si="17"/>
        <v>2.4444444444444446E-2</v>
      </c>
    </row>
    <row r="19" spans="1:27" x14ac:dyDescent="0.25">
      <c r="A19" s="18">
        <v>11</v>
      </c>
      <c r="B19" s="89">
        <v>1</v>
      </c>
      <c r="C19" s="89">
        <v>1</v>
      </c>
      <c r="D19" s="20" t="str">
        <f t="shared" si="0"/>
        <v>2D</v>
      </c>
      <c r="E19" s="86" t="str">
        <f t="shared" si="1"/>
        <v>N.A.</v>
      </c>
      <c r="F19" s="20">
        <f t="shared" si="2"/>
        <v>1</v>
      </c>
      <c r="G19" s="22">
        <f t="shared" si="3"/>
        <v>1</v>
      </c>
      <c r="H19" s="20">
        <f t="shared" si="4"/>
        <v>2.4444444444444446E-2</v>
      </c>
      <c r="I19" s="19" t="s">
        <v>52</v>
      </c>
      <c r="J19" s="79">
        <f t="shared" si="5"/>
        <v>0.12</v>
      </c>
      <c r="L19" s="158">
        <v>0.3</v>
      </c>
      <c r="M19" s="158">
        <v>0.6</v>
      </c>
      <c r="N19" s="156">
        <f t="shared" si="6"/>
        <v>1.44E-4</v>
      </c>
      <c r="O19" s="151">
        <f t="shared" si="7"/>
        <v>1.26</v>
      </c>
      <c r="P19" s="151">
        <f t="shared" si="8"/>
        <v>0.39365853658536587</v>
      </c>
      <c r="Q19" s="156">
        <f t="shared" si="9"/>
        <v>9.5842887804878062E-3</v>
      </c>
      <c r="R19" s="152">
        <f t="shared" si="10"/>
        <v>66.557560975609761</v>
      </c>
      <c r="S19" s="156">
        <f t="shared" si="11"/>
        <v>7.2000000000000002E-5</v>
      </c>
      <c r="T19" s="155">
        <f t="shared" si="12"/>
        <v>0.78</v>
      </c>
      <c r="U19" s="154">
        <f t="shared" si="13"/>
        <v>0.35818181818181816</v>
      </c>
      <c r="V19" s="156">
        <f t="shared" si="14"/>
        <v>7.9825745454545453E-3</v>
      </c>
      <c r="W19" s="152">
        <f t="shared" si="15"/>
        <v>110.8690909090909</v>
      </c>
      <c r="X19" s="158">
        <v>2</v>
      </c>
      <c r="Y19" s="158">
        <v>2</v>
      </c>
      <c r="Z19" s="151">
        <f t="shared" si="16"/>
        <v>88.713325942350338</v>
      </c>
      <c r="AA19" s="154">
        <f t="shared" si="17"/>
        <v>2.4444444444444446E-2</v>
      </c>
    </row>
    <row r="20" spans="1:27" x14ac:dyDescent="0.25">
      <c r="A20" s="18">
        <v>12</v>
      </c>
      <c r="B20" s="89">
        <v>1</v>
      </c>
      <c r="C20" s="89">
        <v>1</v>
      </c>
      <c r="D20" s="20" t="str">
        <f t="shared" si="0"/>
        <v>2D</v>
      </c>
      <c r="E20" s="86" t="str">
        <f t="shared" si="1"/>
        <v>N.A.</v>
      </c>
      <c r="F20" s="20">
        <f t="shared" si="2"/>
        <v>1</v>
      </c>
      <c r="G20" s="22">
        <f t="shared" si="3"/>
        <v>1</v>
      </c>
      <c r="H20" s="20">
        <f t="shared" si="4"/>
        <v>2.4444444444444446E-2</v>
      </c>
      <c r="I20" s="19" t="s">
        <v>52</v>
      </c>
      <c r="J20" s="79">
        <f t="shared" si="5"/>
        <v>0.12</v>
      </c>
      <c r="L20" s="158">
        <v>0.3</v>
      </c>
      <c r="M20" s="158">
        <v>0.6</v>
      </c>
      <c r="N20" s="156">
        <f t="shared" si="6"/>
        <v>1.44E-4</v>
      </c>
      <c r="O20" s="151">
        <f t="shared" si="7"/>
        <v>1.26</v>
      </c>
      <c r="P20" s="151">
        <f t="shared" si="8"/>
        <v>0.39365853658536587</v>
      </c>
      <c r="Q20" s="156">
        <f t="shared" si="9"/>
        <v>9.5842887804878062E-3</v>
      </c>
      <c r="R20" s="152">
        <f t="shared" si="10"/>
        <v>66.557560975609761</v>
      </c>
      <c r="S20" s="156">
        <f t="shared" si="11"/>
        <v>7.2000000000000002E-5</v>
      </c>
      <c r="T20" s="155">
        <f t="shared" si="12"/>
        <v>0.78</v>
      </c>
      <c r="U20" s="154">
        <f t="shared" si="13"/>
        <v>0.35818181818181816</v>
      </c>
      <c r="V20" s="156">
        <f t="shared" si="14"/>
        <v>7.9825745454545453E-3</v>
      </c>
      <c r="W20" s="152">
        <f t="shared" si="15"/>
        <v>110.8690909090909</v>
      </c>
      <c r="X20" s="158">
        <v>2</v>
      </c>
      <c r="Y20" s="158">
        <v>2</v>
      </c>
      <c r="Z20" s="151">
        <f t="shared" si="16"/>
        <v>88.713325942350338</v>
      </c>
      <c r="AA20" s="154">
        <f t="shared" si="17"/>
        <v>2.4444444444444446E-2</v>
      </c>
    </row>
    <row r="21" spans="1:27" x14ac:dyDescent="0.25">
      <c r="A21" s="18">
        <v>13</v>
      </c>
      <c r="B21" s="89">
        <v>1</v>
      </c>
      <c r="C21" s="89">
        <v>1</v>
      </c>
      <c r="D21" s="20" t="str">
        <f t="shared" si="0"/>
        <v>2D</v>
      </c>
      <c r="E21" s="86" t="str">
        <f t="shared" si="1"/>
        <v>N.A.</v>
      </c>
      <c r="F21" s="20">
        <f t="shared" si="2"/>
        <v>1</v>
      </c>
      <c r="G21" s="22">
        <f t="shared" si="3"/>
        <v>1</v>
      </c>
      <c r="H21" s="20">
        <f t="shared" si="4"/>
        <v>2.4444444444444446E-2</v>
      </c>
      <c r="I21" s="19" t="s">
        <v>52</v>
      </c>
      <c r="J21" s="79">
        <f t="shared" si="5"/>
        <v>0.12</v>
      </c>
      <c r="L21" s="158">
        <v>0.3</v>
      </c>
      <c r="M21" s="158">
        <v>0.6</v>
      </c>
      <c r="N21" s="156">
        <f t="shared" si="6"/>
        <v>1.44E-4</v>
      </c>
      <c r="O21" s="151">
        <f t="shared" si="7"/>
        <v>1.26</v>
      </c>
      <c r="P21" s="151">
        <f t="shared" si="8"/>
        <v>0.39365853658536587</v>
      </c>
      <c r="Q21" s="156">
        <f t="shared" si="9"/>
        <v>9.5842887804878062E-3</v>
      </c>
      <c r="R21" s="152">
        <f t="shared" si="10"/>
        <v>66.557560975609761</v>
      </c>
      <c r="S21" s="156">
        <f t="shared" si="11"/>
        <v>7.2000000000000002E-5</v>
      </c>
      <c r="T21" s="155">
        <f t="shared" si="12"/>
        <v>0.78</v>
      </c>
      <c r="U21" s="154">
        <f t="shared" si="13"/>
        <v>0.35818181818181816</v>
      </c>
      <c r="V21" s="156">
        <f t="shared" si="14"/>
        <v>7.9825745454545453E-3</v>
      </c>
      <c r="W21" s="152">
        <f t="shared" si="15"/>
        <v>110.8690909090909</v>
      </c>
      <c r="X21" s="158">
        <v>2</v>
      </c>
      <c r="Y21" s="158">
        <v>2</v>
      </c>
      <c r="Z21" s="151">
        <f t="shared" si="16"/>
        <v>88.713325942350338</v>
      </c>
      <c r="AA21" s="154">
        <f t="shared" si="17"/>
        <v>2.4444444444444446E-2</v>
      </c>
    </row>
    <row r="22" spans="1:27" x14ac:dyDescent="0.25">
      <c r="A22" s="18">
        <v>14</v>
      </c>
      <c r="B22" s="89">
        <v>1</v>
      </c>
      <c r="C22" s="89">
        <v>1</v>
      </c>
      <c r="D22" s="20" t="str">
        <f t="shared" si="0"/>
        <v>2D</v>
      </c>
      <c r="E22" s="86" t="str">
        <f t="shared" si="1"/>
        <v>N.A.</v>
      </c>
      <c r="F22" s="20">
        <f t="shared" si="2"/>
        <v>1</v>
      </c>
      <c r="G22" s="22">
        <f t="shared" si="3"/>
        <v>1</v>
      </c>
      <c r="H22" s="20">
        <f t="shared" si="4"/>
        <v>2.4444444444444446E-2</v>
      </c>
      <c r="I22" s="19" t="s">
        <v>52</v>
      </c>
      <c r="J22" s="79">
        <f t="shared" si="5"/>
        <v>0.12</v>
      </c>
      <c r="L22" s="158">
        <v>0.3</v>
      </c>
      <c r="M22" s="158">
        <v>0.6</v>
      </c>
      <c r="N22" s="156">
        <f t="shared" si="6"/>
        <v>1.44E-4</v>
      </c>
      <c r="O22" s="151">
        <f t="shared" si="7"/>
        <v>1.26</v>
      </c>
      <c r="P22" s="151">
        <f t="shared" si="8"/>
        <v>0.39365853658536587</v>
      </c>
      <c r="Q22" s="156">
        <f t="shared" si="9"/>
        <v>9.5842887804878062E-3</v>
      </c>
      <c r="R22" s="152">
        <f t="shared" si="10"/>
        <v>66.557560975609761</v>
      </c>
      <c r="S22" s="156">
        <f t="shared" si="11"/>
        <v>7.2000000000000002E-5</v>
      </c>
      <c r="T22" s="155">
        <f t="shared" si="12"/>
        <v>0.78</v>
      </c>
      <c r="U22" s="154">
        <f t="shared" si="13"/>
        <v>0.35818181818181816</v>
      </c>
      <c r="V22" s="156">
        <f t="shared" si="14"/>
        <v>7.9825745454545453E-3</v>
      </c>
      <c r="W22" s="152">
        <f t="shared" si="15"/>
        <v>110.8690909090909</v>
      </c>
      <c r="X22" s="158">
        <v>2</v>
      </c>
      <c r="Y22" s="158">
        <v>2</v>
      </c>
      <c r="Z22" s="151">
        <f t="shared" si="16"/>
        <v>88.713325942350338</v>
      </c>
      <c r="AA22" s="154">
        <f t="shared" si="17"/>
        <v>2.4444444444444446E-2</v>
      </c>
    </row>
    <row r="23" spans="1:27" x14ac:dyDescent="0.25">
      <c r="A23" s="18">
        <v>15</v>
      </c>
      <c r="B23" s="89">
        <v>1</v>
      </c>
      <c r="C23" s="89">
        <v>1</v>
      </c>
      <c r="D23" s="20" t="str">
        <f t="shared" si="0"/>
        <v>2D</v>
      </c>
      <c r="E23" s="86" t="str">
        <f t="shared" si="1"/>
        <v>N.A.</v>
      </c>
      <c r="F23" s="20">
        <f t="shared" si="2"/>
        <v>1</v>
      </c>
      <c r="G23" s="22">
        <f t="shared" si="3"/>
        <v>1</v>
      </c>
      <c r="H23" s="20">
        <f t="shared" si="4"/>
        <v>2.4444444444444446E-2</v>
      </c>
      <c r="I23" s="19" t="s">
        <v>52</v>
      </c>
      <c r="J23" s="79">
        <f t="shared" si="5"/>
        <v>0.12</v>
      </c>
      <c r="L23" s="158">
        <v>0.3</v>
      </c>
      <c r="M23" s="158">
        <v>0.6</v>
      </c>
      <c r="N23" s="156">
        <f t="shared" si="6"/>
        <v>1.44E-4</v>
      </c>
      <c r="O23" s="151">
        <f t="shared" si="7"/>
        <v>1.26</v>
      </c>
      <c r="P23" s="151">
        <f t="shared" si="8"/>
        <v>0.39365853658536587</v>
      </c>
      <c r="Q23" s="156">
        <f t="shared" si="9"/>
        <v>9.5842887804878062E-3</v>
      </c>
      <c r="R23" s="152">
        <f t="shared" si="10"/>
        <v>66.557560975609761</v>
      </c>
      <c r="S23" s="156">
        <f t="shared" si="11"/>
        <v>7.2000000000000002E-5</v>
      </c>
      <c r="T23" s="155">
        <f t="shared" si="12"/>
        <v>0.78</v>
      </c>
      <c r="U23" s="154">
        <f t="shared" si="13"/>
        <v>0.35818181818181816</v>
      </c>
      <c r="V23" s="156">
        <f t="shared" si="14"/>
        <v>7.9825745454545453E-3</v>
      </c>
      <c r="W23" s="152">
        <f t="shared" si="15"/>
        <v>110.8690909090909</v>
      </c>
      <c r="X23" s="158">
        <v>2</v>
      </c>
      <c r="Y23" s="158">
        <v>2</v>
      </c>
      <c r="Z23" s="151">
        <f t="shared" si="16"/>
        <v>88.713325942350338</v>
      </c>
      <c r="AA23" s="154">
        <f t="shared" si="17"/>
        <v>2.4444444444444446E-2</v>
      </c>
    </row>
    <row r="24" spans="1:27" x14ac:dyDescent="0.25">
      <c r="A24" s="18">
        <v>16</v>
      </c>
      <c r="B24" s="89">
        <v>1</v>
      </c>
      <c r="C24" s="89">
        <v>1</v>
      </c>
      <c r="D24" s="20" t="str">
        <f t="shared" si="0"/>
        <v>2D</v>
      </c>
      <c r="E24" s="86" t="str">
        <f t="shared" si="1"/>
        <v>N.A.</v>
      </c>
      <c r="F24" s="20">
        <f t="shared" si="2"/>
        <v>1</v>
      </c>
      <c r="G24" s="22">
        <f t="shared" si="3"/>
        <v>1</v>
      </c>
      <c r="H24" s="20">
        <f t="shared" si="4"/>
        <v>2.4444444444444446E-2</v>
      </c>
      <c r="I24" s="19" t="s">
        <v>52</v>
      </c>
      <c r="J24" s="79">
        <f t="shared" si="5"/>
        <v>0.12</v>
      </c>
      <c r="L24" s="158">
        <v>0.3</v>
      </c>
      <c r="M24" s="158">
        <v>0.6</v>
      </c>
      <c r="N24" s="156">
        <f t="shared" si="6"/>
        <v>1.44E-4</v>
      </c>
      <c r="O24" s="151">
        <f t="shared" si="7"/>
        <v>1.26</v>
      </c>
      <c r="P24" s="151">
        <f t="shared" si="8"/>
        <v>0.39365853658536587</v>
      </c>
      <c r="Q24" s="156">
        <f t="shared" si="9"/>
        <v>9.5842887804878062E-3</v>
      </c>
      <c r="R24" s="152">
        <f t="shared" si="10"/>
        <v>66.557560975609761</v>
      </c>
      <c r="S24" s="156">
        <f t="shared" si="11"/>
        <v>7.2000000000000002E-5</v>
      </c>
      <c r="T24" s="155">
        <f t="shared" si="12"/>
        <v>0.78</v>
      </c>
      <c r="U24" s="154">
        <f t="shared" si="13"/>
        <v>0.35818181818181816</v>
      </c>
      <c r="V24" s="156">
        <f t="shared" si="14"/>
        <v>7.9825745454545453E-3</v>
      </c>
      <c r="W24" s="152">
        <f t="shared" si="15"/>
        <v>110.8690909090909</v>
      </c>
      <c r="X24" s="158">
        <v>2</v>
      </c>
      <c r="Y24" s="158">
        <v>2</v>
      </c>
      <c r="Z24" s="151">
        <f t="shared" si="16"/>
        <v>88.713325942350338</v>
      </c>
      <c r="AA24" s="154">
        <f t="shared" si="17"/>
        <v>2.4444444444444446E-2</v>
      </c>
    </row>
    <row r="25" spans="1:27" x14ac:dyDescent="0.25">
      <c r="A25" s="18">
        <v>17</v>
      </c>
      <c r="B25" s="89">
        <v>1</v>
      </c>
      <c r="C25" s="89">
        <v>1</v>
      </c>
      <c r="D25" s="20" t="str">
        <f t="shared" si="0"/>
        <v>2D</v>
      </c>
      <c r="E25" s="86" t="str">
        <f t="shared" si="1"/>
        <v>N.A.</v>
      </c>
      <c r="F25" s="20">
        <f t="shared" si="2"/>
        <v>1</v>
      </c>
      <c r="G25" s="22">
        <f t="shared" si="3"/>
        <v>1</v>
      </c>
      <c r="H25" s="20">
        <f t="shared" si="4"/>
        <v>2.4444444444444446E-2</v>
      </c>
      <c r="I25" s="19" t="s">
        <v>52</v>
      </c>
      <c r="J25" s="79">
        <f t="shared" si="5"/>
        <v>0.12</v>
      </c>
      <c r="L25" s="158">
        <v>0.3</v>
      </c>
      <c r="M25" s="158">
        <v>0.6</v>
      </c>
      <c r="N25" s="156">
        <f t="shared" si="6"/>
        <v>1.44E-4</v>
      </c>
      <c r="O25" s="151">
        <f t="shared" si="7"/>
        <v>1.26</v>
      </c>
      <c r="P25" s="151">
        <f t="shared" si="8"/>
        <v>0.39365853658536587</v>
      </c>
      <c r="Q25" s="156">
        <f t="shared" si="9"/>
        <v>9.5842887804878062E-3</v>
      </c>
      <c r="R25" s="152">
        <f t="shared" si="10"/>
        <v>66.557560975609761</v>
      </c>
      <c r="S25" s="156">
        <f t="shared" si="11"/>
        <v>7.2000000000000002E-5</v>
      </c>
      <c r="T25" s="155">
        <f t="shared" si="12"/>
        <v>0.78</v>
      </c>
      <c r="U25" s="154">
        <f t="shared" si="13"/>
        <v>0.35818181818181816</v>
      </c>
      <c r="V25" s="156">
        <f t="shared" si="14"/>
        <v>7.9825745454545453E-3</v>
      </c>
      <c r="W25" s="152">
        <f t="shared" si="15"/>
        <v>110.8690909090909</v>
      </c>
      <c r="X25" s="158">
        <v>2</v>
      </c>
      <c r="Y25" s="158">
        <v>2</v>
      </c>
      <c r="Z25" s="151">
        <f t="shared" si="16"/>
        <v>88.713325942350338</v>
      </c>
      <c r="AA25" s="154">
        <f t="shared" si="17"/>
        <v>2.4444444444444446E-2</v>
      </c>
    </row>
    <row r="26" spans="1:27" x14ac:dyDescent="0.25">
      <c r="A26" s="18">
        <v>18</v>
      </c>
      <c r="B26" s="89">
        <v>1</v>
      </c>
      <c r="C26" s="89">
        <v>1</v>
      </c>
      <c r="D26" s="20" t="str">
        <f t="shared" si="0"/>
        <v>2D</v>
      </c>
      <c r="E26" s="86" t="str">
        <f t="shared" si="1"/>
        <v>N.A.</v>
      </c>
      <c r="F26" s="20">
        <f t="shared" si="2"/>
        <v>1</v>
      </c>
      <c r="G26" s="22">
        <f t="shared" si="3"/>
        <v>1</v>
      </c>
      <c r="H26" s="20">
        <f t="shared" si="4"/>
        <v>2.4444444444444446E-2</v>
      </c>
      <c r="I26" s="19" t="s">
        <v>52</v>
      </c>
      <c r="J26" s="79">
        <f t="shared" si="5"/>
        <v>0.12</v>
      </c>
      <c r="L26" s="158">
        <v>0.3</v>
      </c>
      <c r="M26" s="158">
        <v>0.6</v>
      </c>
      <c r="N26" s="156">
        <f t="shared" si="6"/>
        <v>1.44E-4</v>
      </c>
      <c r="O26" s="151">
        <f t="shared" si="7"/>
        <v>1.26</v>
      </c>
      <c r="P26" s="151">
        <f t="shared" si="8"/>
        <v>0.39365853658536587</v>
      </c>
      <c r="Q26" s="156">
        <f t="shared" si="9"/>
        <v>9.5842887804878062E-3</v>
      </c>
      <c r="R26" s="152">
        <f t="shared" si="10"/>
        <v>66.557560975609761</v>
      </c>
      <c r="S26" s="156">
        <f t="shared" si="11"/>
        <v>7.2000000000000002E-5</v>
      </c>
      <c r="T26" s="155">
        <f t="shared" si="12"/>
        <v>0.78</v>
      </c>
      <c r="U26" s="154">
        <f t="shared" si="13"/>
        <v>0.35818181818181816</v>
      </c>
      <c r="V26" s="156">
        <f t="shared" si="14"/>
        <v>7.9825745454545453E-3</v>
      </c>
      <c r="W26" s="152">
        <f t="shared" si="15"/>
        <v>110.8690909090909</v>
      </c>
      <c r="X26" s="158">
        <v>2</v>
      </c>
      <c r="Y26" s="158">
        <v>2</v>
      </c>
      <c r="Z26" s="151">
        <f t="shared" si="16"/>
        <v>88.713325942350338</v>
      </c>
      <c r="AA26" s="154">
        <f t="shared" si="17"/>
        <v>2.4444444444444446E-2</v>
      </c>
    </row>
    <row r="27" spans="1:27" x14ac:dyDescent="0.25">
      <c r="A27" s="18">
        <v>19</v>
      </c>
      <c r="B27" s="89">
        <v>1</v>
      </c>
      <c r="C27" s="89">
        <v>1</v>
      </c>
      <c r="D27" s="20" t="str">
        <f t="shared" si="0"/>
        <v>2D</v>
      </c>
      <c r="E27" s="86" t="str">
        <f t="shared" si="1"/>
        <v>N.A.</v>
      </c>
      <c r="F27" s="20">
        <f t="shared" si="2"/>
        <v>1</v>
      </c>
      <c r="G27" s="22">
        <f t="shared" si="3"/>
        <v>1</v>
      </c>
      <c r="H27" s="20">
        <f t="shared" si="4"/>
        <v>2.4444444444444446E-2</v>
      </c>
      <c r="I27" s="19" t="s">
        <v>52</v>
      </c>
      <c r="J27" s="79">
        <f t="shared" si="5"/>
        <v>0.12</v>
      </c>
      <c r="L27" s="158">
        <v>0.3</v>
      </c>
      <c r="M27" s="158">
        <v>0.6</v>
      </c>
      <c r="N27" s="156">
        <f t="shared" si="6"/>
        <v>1.44E-4</v>
      </c>
      <c r="O27" s="151">
        <f t="shared" si="7"/>
        <v>1.26</v>
      </c>
      <c r="P27" s="151">
        <f t="shared" si="8"/>
        <v>0.39365853658536587</v>
      </c>
      <c r="Q27" s="156">
        <f t="shared" si="9"/>
        <v>9.5842887804878062E-3</v>
      </c>
      <c r="R27" s="152">
        <f t="shared" si="10"/>
        <v>66.557560975609761</v>
      </c>
      <c r="S27" s="156">
        <f t="shared" si="11"/>
        <v>7.2000000000000002E-5</v>
      </c>
      <c r="T27" s="155">
        <f t="shared" si="12"/>
        <v>0.78</v>
      </c>
      <c r="U27" s="154">
        <f t="shared" si="13"/>
        <v>0.35818181818181816</v>
      </c>
      <c r="V27" s="156">
        <f t="shared" si="14"/>
        <v>7.9825745454545453E-3</v>
      </c>
      <c r="W27" s="152">
        <f t="shared" si="15"/>
        <v>110.8690909090909</v>
      </c>
      <c r="X27" s="158">
        <v>2</v>
      </c>
      <c r="Y27" s="158">
        <v>2</v>
      </c>
      <c r="Z27" s="151">
        <f t="shared" si="16"/>
        <v>88.713325942350338</v>
      </c>
      <c r="AA27" s="154">
        <f t="shared" si="17"/>
        <v>2.4444444444444446E-2</v>
      </c>
    </row>
    <row r="28" spans="1:27" x14ac:dyDescent="0.25">
      <c r="A28" s="18">
        <v>20</v>
      </c>
      <c r="B28" s="89">
        <v>1</v>
      </c>
      <c r="C28" s="89">
        <v>1</v>
      </c>
      <c r="D28" s="20" t="str">
        <f t="shared" si="0"/>
        <v>2D</v>
      </c>
      <c r="E28" s="86" t="str">
        <f t="shared" si="1"/>
        <v>N.A.</v>
      </c>
      <c r="F28" s="20">
        <f t="shared" si="2"/>
        <v>1</v>
      </c>
      <c r="G28" s="22">
        <f t="shared" si="3"/>
        <v>1</v>
      </c>
      <c r="H28" s="20">
        <f t="shared" si="4"/>
        <v>2.4444444444444446E-2</v>
      </c>
      <c r="I28" s="19" t="s">
        <v>52</v>
      </c>
      <c r="J28" s="79">
        <f t="shared" si="5"/>
        <v>0.12</v>
      </c>
      <c r="L28" s="158">
        <v>0.3</v>
      </c>
      <c r="M28" s="158">
        <v>0.6</v>
      </c>
      <c r="N28" s="156">
        <f t="shared" si="6"/>
        <v>1.44E-4</v>
      </c>
      <c r="O28" s="151">
        <f t="shared" si="7"/>
        <v>1.26</v>
      </c>
      <c r="P28" s="151">
        <f t="shared" si="8"/>
        <v>0.39365853658536587</v>
      </c>
      <c r="Q28" s="156">
        <f t="shared" si="9"/>
        <v>9.5842887804878062E-3</v>
      </c>
      <c r="R28" s="152">
        <f t="shared" si="10"/>
        <v>66.557560975609761</v>
      </c>
      <c r="S28" s="156">
        <f t="shared" si="11"/>
        <v>7.2000000000000002E-5</v>
      </c>
      <c r="T28" s="155">
        <f t="shared" si="12"/>
        <v>0.78</v>
      </c>
      <c r="U28" s="154">
        <f t="shared" si="13"/>
        <v>0.35818181818181816</v>
      </c>
      <c r="V28" s="156">
        <f t="shared" si="14"/>
        <v>7.9825745454545453E-3</v>
      </c>
      <c r="W28" s="152">
        <f t="shared" si="15"/>
        <v>110.8690909090909</v>
      </c>
      <c r="X28" s="158">
        <v>2</v>
      </c>
      <c r="Y28" s="158">
        <v>2</v>
      </c>
      <c r="Z28" s="151">
        <f t="shared" si="16"/>
        <v>88.713325942350338</v>
      </c>
      <c r="AA28" s="154">
        <f t="shared" si="17"/>
        <v>2.4444444444444446E-2</v>
      </c>
    </row>
    <row r="29" spans="1:27" x14ac:dyDescent="0.25">
      <c r="A29" s="18">
        <v>21</v>
      </c>
      <c r="B29" s="89">
        <v>1</v>
      </c>
      <c r="C29" s="89">
        <v>1</v>
      </c>
      <c r="D29" s="20" t="str">
        <f t="shared" si="0"/>
        <v>2D</v>
      </c>
      <c r="E29" s="86" t="str">
        <f t="shared" si="1"/>
        <v>N.A.</v>
      </c>
      <c r="F29" s="20">
        <f t="shared" si="2"/>
        <v>1</v>
      </c>
      <c r="G29" s="22">
        <f t="shared" si="3"/>
        <v>1</v>
      </c>
      <c r="H29" s="20">
        <f t="shared" si="4"/>
        <v>2.4444444444444446E-2</v>
      </c>
      <c r="I29" s="19" t="s">
        <v>52</v>
      </c>
      <c r="J29" s="79">
        <f t="shared" si="5"/>
        <v>0.12</v>
      </c>
      <c r="L29" s="158">
        <v>0.3</v>
      </c>
      <c r="M29" s="158">
        <v>0.6</v>
      </c>
      <c r="N29" s="156">
        <f t="shared" si="6"/>
        <v>1.44E-4</v>
      </c>
      <c r="O29" s="151">
        <f t="shared" si="7"/>
        <v>1.26</v>
      </c>
      <c r="P29" s="151">
        <f t="shared" si="8"/>
        <v>0.39365853658536587</v>
      </c>
      <c r="Q29" s="156">
        <f t="shared" si="9"/>
        <v>9.5842887804878062E-3</v>
      </c>
      <c r="R29" s="152">
        <f t="shared" si="10"/>
        <v>66.557560975609761</v>
      </c>
      <c r="S29" s="156">
        <f t="shared" si="11"/>
        <v>7.2000000000000002E-5</v>
      </c>
      <c r="T29" s="155">
        <f t="shared" si="12"/>
        <v>0.78</v>
      </c>
      <c r="U29" s="154">
        <f t="shared" si="13"/>
        <v>0.35818181818181816</v>
      </c>
      <c r="V29" s="156">
        <f t="shared" si="14"/>
        <v>7.9825745454545453E-3</v>
      </c>
      <c r="W29" s="152">
        <f t="shared" si="15"/>
        <v>110.8690909090909</v>
      </c>
      <c r="X29" s="158">
        <v>2</v>
      </c>
      <c r="Y29" s="158">
        <v>2</v>
      </c>
      <c r="Z29" s="151">
        <f t="shared" si="16"/>
        <v>88.713325942350338</v>
      </c>
      <c r="AA29" s="154">
        <f t="shared" si="17"/>
        <v>2.4444444444444446E-2</v>
      </c>
    </row>
    <row r="30" spans="1:27" x14ac:dyDescent="0.25">
      <c r="A30" s="18">
        <v>22</v>
      </c>
      <c r="B30" s="89">
        <v>1</v>
      </c>
      <c r="C30" s="89">
        <v>1</v>
      </c>
      <c r="D30" s="20" t="str">
        <f t="shared" si="0"/>
        <v>2D</v>
      </c>
      <c r="E30" s="86" t="str">
        <f t="shared" si="1"/>
        <v>N.A.</v>
      </c>
      <c r="F30" s="20">
        <f t="shared" si="2"/>
        <v>1</v>
      </c>
      <c r="G30" s="22">
        <f t="shared" si="3"/>
        <v>1</v>
      </c>
      <c r="H30" s="20">
        <f t="shared" si="4"/>
        <v>2.4444444444444446E-2</v>
      </c>
      <c r="I30" s="19" t="s">
        <v>52</v>
      </c>
      <c r="J30" s="79">
        <f t="shared" si="5"/>
        <v>0.12</v>
      </c>
      <c r="L30" s="158">
        <v>0.3</v>
      </c>
      <c r="M30" s="158">
        <v>0.6</v>
      </c>
      <c r="N30" s="156">
        <f t="shared" si="6"/>
        <v>1.44E-4</v>
      </c>
      <c r="O30" s="151">
        <f t="shared" si="7"/>
        <v>1.26</v>
      </c>
      <c r="P30" s="151">
        <f t="shared" si="8"/>
        <v>0.39365853658536587</v>
      </c>
      <c r="Q30" s="156">
        <f t="shared" si="9"/>
        <v>9.5842887804878062E-3</v>
      </c>
      <c r="R30" s="152">
        <f t="shared" si="10"/>
        <v>66.557560975609761</v>
      </c>
      <c r="S30" s="156">
        <f t="shared" si="11"/>
        <v>7.2000000000000002E-5</v>
      </c>
      <c r="T30" s="155">
        <f t="shared" si="12"/>
        <v>0.78</v>
      </c>
      <c r="U30" s="154">
        <f t="shared" si="13"/>
        <v>0.35818181818181816</v>
      </c>
      <c r="V30" s="156">
        <f t="shared" si="14"/>
        <v>7.9825745454545453E-3</v>
      </c>
      <c r="W30" s="152">
        <f t="shared" si="15"/>
        <v>110.8690909090909</v>
      </c>
      <c r="X30" s="158">
        <v>2</v>
      </c>
      <c r="Y30" s="158">
        <v>2</v>
      </c>
      <c r="Z30" s="151">
        <f t="shared" si="16"/>
        <v>88.713325942350338</v>
      </c>
      <c r="AA30" s="154">
        <f t="shared" si="17"/>
        <v>2.4444444444444446E-2</v>
      </c>
    </row>
    <row r="31" spans="1:27" x14ac:dyDescent="0.25">
      <c r="A31" s="18">
        <v>23</v>
      </c>
      <c r="B31" s="89">
        <v>1</v>
      </c>
      <c r="C31" s="89">
        <v>1</v>
      </c>
      <c r="D31" s="20" t="str">
        <f t="shared" si="0"/>
        <v>2D</v>
      </c>
      <c r="E31" s="86" t="str">
        <f t="shared" si="1"/>
        <v>N.A.</v>
      </c>
      <c r="F31" s="20">
        <f t="shared" si="2"/>
        <v>1</v>
      </c>
      <c r="G31" s="22">
        <f t="shared" si="3"/>
        <v>1</v>
      </c>
      <c r="H31" s="20">
        <f t="shared" si="4"/>
        <v>2.4444444444444446E-2</v>
      </c>
      <c r="I31" s="19" t="s">
        <v>52</v>
      </c>
      <c r="J31" s="79">
        <f t="shared" si="5"/>
        <v>0.12</v>
      </c>
      <c r="L31" s="158">
        <v>0.3</v>
      </c>
      <c r="M31" s="158">
        <v>0.6</v>
      </c>
      <c r="N31" s="156">
        <f t="shared" si="6"/>
        <v>1.44E-4</v>
      </c>
      <c r="O31" s="151">
        <f t="shared" si="7"/>
        <v>1.26</v>
      </c>
      <c r="P31" s="151">
        <f t="shared" si="8"/>
        <v>0.39365853658536587</v>
      </c>
      <c r="Q31" s="156">
        <f t="shared" si="9"/>
        <v>9.5842887804878062E-3</v>
      </c>
      <c r="R31" s="152">
        <f t="shared" si="10"/>
        <v>66.557560975609761</v>
      </c>
      <c r="S31" s="156">
        <f t="shared" si="11"/>
        <v>7.2000000000000002E-5</v>
      </c>
      <c r="T31" s="155">
        <f t="shared" si="12"/>
        <v>0.78</v>
      </c>
      <c r="U31" s="154">
        <f t="shared" si="13"/>
        <v>0.35818181818181816</v>
      </c>
      <c r="V31" s="156">
        <f t="shared" si="14"/>
        <v>7.9825745454545453E-3</v>
      </c>
      <c r="W31" s="152">
        <f t="shared" si="15"/>
        <v>110.8690909090909</v>
      </c>
      <c r="X31" s="158">
        <v>2</v>
      </c>
      <c r="Y31" s="158">
        <v>2</v>
      </c>
      <c r="Z31" s="151">
        <f t="shared" si="16"/>
        <v>88.713325942350338</v>
      </c>
      <c r="AA31" s="154">
        <f t="shared" si="17"/>
        <v>2.4444444444444446E-2</v>
      </c>
    </row>
    <row r="32" spans="1:27" x14ac:dyDescent="0.25">
      <c r="A32" s="18">
        <v>24</v>
      </c>
      <c r="B32" s="89">
        <v>1</v>
      </c>
      <c r="C32" s="89">
        <v>1</v>
      </c>
      <c r="D32" s="20" t="str">
        <f t="shared" si="0"/>
        <v>2D</v>
      </c>
      <c r="E32" s="86" t="str">
        <f t="shared" si="1"/>
        <v>N.A.</v>
      </c>
      <c r="F32" s="20">
        <f t="shared" si="2"/>
        <v>1</v>
      </c>
      <c r="G32" s="22">
        <f t="shared" si="3"/>
        <v>1</v>
      </c>
      <c r="H32" s="20">
        <f t="shared" si="4"/>
        <v>2.4444444444444446E-2</v>
      </c>
      <c r="I32" s="19" t="s">
        <v>52</v>
      </c>
      <c r="J32" s="79">
        <f t="shared" si="5"/>
        <v>0.12</v>
      </c>
      <c r="L32" s="158">
        <v>0.3</v>
      </c>
      <c r="M32" s="158">
        <v>0.6</v>
      </c>
      <c r="N32" s="156">
        <f t="shared" si="6"/>
        <v>1.44E-4</v>
      </c>
      <c r="O32" s="151">
        <f t="shared" si="7"/>
        <v>1.26</v>
      </c>
      <c r="P32" s="151">
        <f t="shared" si="8"/>
        <v>0.39365853658536587</v>
      </c>
      <c r="Q32" s="156">
        <f t="shared" si="9"/>
        <v>9.5842887804878062E-3</v>
      </c>
      <c r="R32" s="152">
        <f t="shared" si="10"/>
        <v>66.557560975609761</v>
      </c>
      <c r="S32" s="156">
        <f t="shared" si="11"/>
        <v>7.2000000000000002E-5</v>
      </c>
      <c r="T32" s="155">
        <f t="shared" si="12"/>
        <v>0.78</v>
      </c>
      <c r="U32" s="154">
        <f t="shared" si="13"/>
        <v>0.35818181818181816</v>
      </c>
      <c r="V32" s="156">
        <f t="shared" si="14"/>
        <v>7.9825745454545453E-3</v>
      </c>
      <c r="W32" s="152">
        <f t="shared" si="15"/>
        <v>110.8690909090909</v>
      </c>
      <c r="X32" s="158">
        <v>2</v>
      </c>
      <c r="Y32" s="158">
        <v>2</v>
      </c>
      <c r="Z32" s="151">
        <f t="shared" si="16"/>
        <v>88.713325942350338</v>
      </c>
      <c r="AA32" s="154">
        <f t="shared" si="17"/>
        <v>2.4444444444444446E-2</v>
      </c>
    </row>
    <row r="33" spans="1:27" x14ac:dyDescent="0.25">
      <c r="A33" s="18">
        <v>25</v>
      </c>
      <c r="B33" s="89">
        <v>1</v>
      </c>
      <c r="C33" s="89">
        <v>1</v>
      </c>
      <c r="D33" s="20" t="str">
        <f t="shared" si="0"/>
        <v>2D</v>
      </c>
      <c r="E33" s="86" t="str">
        <f t="shared" si="1"/>
        <v>N.A.</v>
      </c>
      <c r="F33" s="20">
        <f t="shared" si="2"/>
        <v>1</v>
      </c>
      <c r="G33" s="22">
        <f t="shared" si="3"/>
        <v>1</v>
      </c>
      <c r="H33" s="20">
        <f t="shared" si="4"/>
        <v>2.4444444444444446E-2</v>
      </c>
      <c r="I33" s="19" t="s">
        <v>52</v>
      </c>
      <c r="J33" s="79">
        <f t="shared" si="5"/>
        <v>0.12</v>
      </c>
      <c r="L33" s="158">
        <v>0.3</v>
      </c>
      <c r="M33" s="158">
        <v>0.6</v>
      </c>
      <c r="N33" s="156">
        <f t="shared" si="6"/>
        <v>1.44E-4</v>
      </c>
      <c r="O33" s="151">
        <f t="shared" si="7"/>
        <v>1.26</v>
      </c>
      <c r="P33" s="151">
        <f t="shared" si="8"/>
        <v>0.39365853658536587</v>
      </c>
      <c r="Q33" s="156">
        <f t="shared" si="9"/>
        <v>9.5842887804878062E-3</v>
      </c>
      <c r="R33" s="152">
        <f t="shared" si="10"/>
        <v>66.557560975609761</v>
      </c>
      <c r="S33" s="156">
        <f t="shared" si="11"/>
        <v>7.2000000000000002E-5</v>
      </c>
      <c r="T33" s="155">
        <f t="shared" si="12"/>
        <v>0.78</v>
      </c>
      <c r="U33" s="154">
        <f t="shared" si="13"/>
        <v>0.35818181818181816</v>
      </c>
      <c r="V33" s="156">
        <f t="shared" si="14"/>
        <v>7.9825745454545453E-3</v>
      </c>
      <c r="W33" s="152">
        <f t="shared" si="15"/>
        <v>110.8690909090909</v>
      </c>
      <c r="X33" s="158">
        <v>2</v>
      </c>
      <c r="Y33" s="158">
        <v>2</v>
      </c>
      <c r="Z33" s="151">
        <f t="shared" si="16"/>
        <v>88.713325942350338</v>
      </c>
      <c r="AA33" s="154">
        <f t="shared" si="17"/>
        <v>2.4444444444444446E-2</v>
      </c>
    </row>
    <row r="34" spans="1:27" x14ac:dyDescent="0.25">
      <c r="A34" s="18">
        <v>26</v>
      </c>
      <c r="B34" s="89">
        <v>1</v>
      </c>
      <c r="C34" s="89">
        <v>1</v>
      </c>
      <c r="D34" s="20" t="str">
        <f t="shared" si="0"/>
        <v>2D</v>
      </c>
      <c r="E34" s="86" t="str">
        <f t="shared" si="1"/>
        <v>N.A.</v>
      </c>
      <c r="F34" s="20">
        <f t="shared" si="2"/>
        <v>1</v>
      </c>
      <c r="G34" s="22">
        <f t="shared" si="3"/>
        <v>1</v>
      </c>
      <c r="H34" s="20">
        <f t="shared" si="4"/>
        <v>2.4444444444444446E-2</v>
      </c>
      <c r="I34" s="19" t="s">
        <v>52</v>
      </c>
      <c r="J34" s="79">
        <f t="shared" si="5"/>
        <v>0.12</v>
      </c>
      <c r="L34" s="158">
        <v>0.3</v>
      </c>
      <c r="M34" s="158">
        <v>0.6</v>
      </c>
      <c r="N34" s="156">
        <f t="shared" si="6"/>
        <v>1.44E-4</v>
      </c>
      <c r="O34" s="151">
        <f t="shared" si="7"/>
        <v>1.26</v>
      </c>
      <c r="P34" s="151">
        <f t="shared" si="8"/>
        <v>0.39365853658536587</v>
      </c>
      <c r="Q34" s="156">
        <f t="shared" si="9"/>
        <v>9.5842887804878062E-3</v>
      </c>
      <c r="R34" s="152">
        <f t="shared" si="10"/>
        <v>66.557560975609761</v>
      </c>
      <c r="S34" s="156">
        <f t="shared" si="11"/>
        <v>7.2000000000000002E-5</v>
      </c>
      <c r="T34" s="155">
        <f t="shared" si="12"/>
        <v>0.78</v>
      </c>
      <c r="U34" s="154">
        <f t="shared" si="13"/>
        <v>0.35818181818181816</v>
      </c>
      <c r="V34" s="156">
        <f t="shared" si="14"/>
        <v>7.9825745454545453E-3</v>
      </c>
      <c r="W34" s="152">
        <f t="shared" si="15"/>
        <v>110.8690909090909</v>
      </c>
      <c r="X34" s="158">
        <v>2</v>
      </c>
      <c r="Y34" s="158">
        <v>2</v>
      </c>
      <c r="Z34" s="151">
        <f t="shared" si="16"/>
        <v>88.713325942350338</v>
      </c>
      <c r="AA34" s="154">
        <f t="shared" si="17"/>
        <v>2.4444444444444446E-2</v>
      </c>
    </row>
    <row r="35" spans="1:27" x14ac:dyDescent="0.25">
      <c r="A35" s="18">
        <v>27</v>
      </c>
      <c r="B35" s="89">
        <v>1</v>
      </c>
      <c r="C35" s="89">
        <v>1</v>
      </c>
      <c r="D35" s="20" t="str">
        <f t="shared" si="0"/>
        <v>2D</v>
      </c>
      <c r="E35" s="86" t="str">
        <f t="shared" si="1"/>
        <v>N.A.</v>
      </c>
      <c r="F35" s="20">
        <f t="shared" si="2"/>
        <v>1</v>
      </c>
      <c r="G35" s="22">
        <f t="shared" si="3"/>
        <v>1</v>
      </c>
      <c r="H35" s="20">
        <f t="shared" si="4"/>
        <v>2.4444444444444446E-2</v>
      </c>
      <c r="I35" s="19" t="s">
        <v>52</v>
      </c>
      <c r="J35" s="79">
        <f t="shared" si="5"/>
        <v>0.12</v>
      </c>
      <c r="L35" s="158">
        <v>0.3</v>
      </c>
      <c r="M35" s="158">
        <v>0.6</v>
      </c>
      <c r="N35" s="156">
        <f t="shared" si="6"/>
        <v>1.44E-4</v>
      </c>
      <c r="O35" s="151">
        <f t="shared" si="7"/>
        <v>1.26</v>
      </c>
      <c r="P35" s="151">
        <f t="shared" si="8"/>
        <v>0.39365853658536587</v>
      </c>
      <c r="Q35" s="156">
        <f t="shared" si="9"/>
        <v>9.5842887804878062E-3</v>
      </c>
      <c r="R35" s="152">
        <f t="shared" si="10"/>
        <v>66.557560975609761</v>
      </c>
      <c r="S35" s="156">
        <f t="shared" si="11"/>
        <v>7.2000000000000002E-5</v>
      </c>
      <c r="T35" s="155">
        <f t="shared" si="12"/>
        <v>0.78</v>
      </c>
      <c r="U35" s="154">
        <f t="shared" si="13"/>
        <v>0.35818181818181816</v>
      </c>
      <c r="V35" s="156">
        <f t="shared" si="14"/>
        <v>7.9825745454545453E-3</v>
      </c>
      <c r="W35" s="152">
        <f t="shared" si="15"/>
        <v>110.8690909090909</v>
      </c>
      <c r="X35" s="158">
        <v>2</v>
      </c>
      <c r="Y35" s="158">
        <v>2</v>
      </c>
      <c r="Z35" s="151">
        <f t="shared" si="16"/>
        <v>88.713325942350338</v>
      </c>
      <c r="AA35" s="154">
        <f t="shared" si="17"/>
        <v>2.4444444444444446E-2</v>
      </c>
    </row>
    <row r="36" spans="1:27" x14ac:dyDescent="0.25">
      <c r="A36" s="18">
        <v>28</v>
      </c>
      <c r="B36" s="89">
        <v>1</v>
      </c>
      <c r="C36" s="89">
        <v>1</v>
      </c>
      <c r="D36" s="20" t="str">
        <f t="shared" si="0"/>
        <v>2D</v>
      </c>
      <c r="E36" s="86" t="str">
        <f t="shared" si="1"/>
        <v>N.A.</v>
      </c>
      <c r="F36" s="20">
        <f t="shared" si="2"/>
        <v>1</v>
      </c>
      <c r="G36" s="22">
        <f t="shared" si="3"/>
        <v>1</v>
      </c>
      <c r="H36" s="20">
        <f t="shared" si="4"/>
        <v>2.4444444444444446E-2</v>
      </c>
      <c r="I36" s="19" t="s">
        <v>52</v>
      </c>
      <c r="J36" s="79">
        <f t="shared" si="5"/>
        <v>0.12</v>
      </c>
      <c r="L36" s="158">
        <v>0.3</v>
      </c>
      <c r="M36" s="158">
        <v>0.6</v>
      </c>
      <c r="N36" s="156">
        <f t="shared" si="6"/>
        <v>1.44E-4</v>
      </c>
      <c r="O36" s="151">
        <f t="shared" si="7"/>
        <v>1.26</v>
      </c>
      <c r="P36" s="151">
        <f t="shared" si="8"/>
        <v>0.39365853658536587</v>
      </c>
      <c r="Q36" s="156">
        <f t="shared" si="9"/>
        <v>9.5842887804878062E-3</v>
      </c>
      <c r="R36" s="152">
        <f t="shared" si="10"/>
        <v>66.557560975609761</v>
      </c>
      <c r="S36" s="156">
        <f t="shared" si="11"/>
        <v>7.2000000000000002E-5</v>
      </c>
      <c r="T36" s="155">
        <f t="shared" si="12"/>
        <v>0.78</v>
      </c>
      <c r="U36" s="154">
        <f t="shared" si="13"/>
        <v>0.35818181818181816</v>
      </c>
      <c r="V36" s="156">
        <f t="shared" si="14"/>
        <v>7.9825745454545453E-3</v>
      </c>
      <c r="W36" s="152">
        <f t="shared" si="15"/>
        <v>110.8690909090909</v>
      </c>
      <c r="X36" s="158">
        <v>2</v>
      </c>
      <c r="Y36" s="158">
        <v>2</v>
      </c>
      <c r="Z36" s="151">
        <f t="shared" si="16"/>
        <v>88.713325942350338</v>
      </c>
      <c r="AA36" s="154">
        <f t="shared" si="17"/>
        <v>2.4444444444444446E-2</v>
      </c>
    </row>
    <row r="37" spans="1:27" x14ac:dyDescent="0.25">
      <c r="A37" s="18">
        <v>29</v>
      </c>
      <c r="B37" s="89">
        <v>1</v>
      </c>
      <c r="C37" s="89">
        <v>1</v>
      </c>
      <c r="D37" s="20" t="str">
        <f t="shared" si="0"/>
        <v>2D</v>
      </c>
      <c r="E37" s="86" t="str">
        <f t="shared" si="1"/>
        <v>N.A.</v>
      </c>
      <c r="F37" s="20">
        <f t="shared" si="2"/>
        <v>1</v>
      </c>
      <c r="G37" s="22">
        <f t="shared" si="3"/>
        <v>1</v>
      </c>
      <c r="H37" s="20">
        <f t="shared" si="4"/>
        <v>2.4444444444444446E-2</v>
      </c>
      <c r="I37" s="19" t="s">
        <v>52</v>
      </c>
      <c r="J37" s="79">
        <f t="shared" si="5"/>
        <v>0.12</v>
      </c>
      <c r="L37" s="158">
        <v>0.3</v>
      </c>
      <c r="M37" s="158">
        <v>0.6</v>
      </c>
      <c r="N37" s="156">
        <f t="shared" si="6"/>
        <v>1.44E-4</v>
      </c>
      <c r="O37" s="151">
        <f t="shared" si="7"/>
        <v>1.26</v>
      </c>
      <c r="P37" s="151">
        <f t="shared" si="8"/>
        <v>0.39365853658536587</v>
      </c>
      <c r="Q37" s="156">
        <f t="shared" si="9"/>
        <v>9.5842887804878062E-3</v>
      </c>
      <c r="R37" s="152">
        <f t="shared" si="10"/>
        <v>66.557560975609761</v>
      </c>
      <c r="S37" s="156">
        <f t="shared" si="11"/>
        <v>7.2000000000000002E-5</v>
      </c>
      <c r="T37" s="155">
        <f t="shared" si="12"/>
        <v>0.78</v>
      </c>
      <c r="U37" s="154">
        <f t="shared" si="13"/>
        <v>0.35818181818181816</v>
      </c>
      <c r="V37" s="156">
        <f t="shared" si="14"/>
        <v>7.9825745454545453E-3</v>
      </c>
      <c r="W37" s="152">
        <f t="shared" si="15"/>
        <v>110.8690909090909</v>
      </c>
      <c r="X37" s="158">
        <v>2</v>
      </c>
      <c r="Y37" s="158">
        <v>2</v>
      </c>
      <c r="Z37" s="151">
        <f t="shared" si="16"/>
        <v>88.713325942350338</v>
      </c>
      <c r="AA37" s="154">
        <f t="shared" si="17"/>
        <v>2.4444444444444446E-2</v>
      </c>
    </row>
    <row r="38" spans="1:27" x14ac:dyDescent="0.25">
      <c r="A38" s="18">
        <v>30</v>
      </c>
      <c r="B38" s="89">
        <v>1</v>
      </c>
      <c r="C38" s="89">
        <v>1</v>
      </c>
      <c r="D38" s="20" t="str">
        <f t="shared" si="0"/>
        <v>2D</v>
      </c>
      <c r="E38" s="86" t="str">
        <f t="shared" si="1"/>
        <v>N.A.</v>
      </c>
      <c r="F38" s="20">
        <f t="shared" si="2"/>
        <v>1</v>
      </c>
      <c r="G38" s="22">
        <f t="shared" si="3"/>
        <v>1</v>
      </c>
      <c r="H38" s="20">
        <f t="shared" si="4"/>
        <v>2.4444444444444446E-2</v>
      </c>
      <c r="I38" s="19" t="s">
        <v>52</v>
      </c>
      <c r="J38" s="79">
        <f t="shared" si="5"/>
        <v>0.12</v>
      </c>
      <c r="L38" s="158">
        <v>0.3</v>
      </c>
      <c r="M38" s="158">
        <v>0.6</v>
      </c>
      <c r="N38" s="156">
        <f t="shared" si="6"/>
        <v>1.44E-4</v>
      </c>
      <c r="O38" s="151">
        <f t="shared" si="7"/>
        <v>1.26</v>
      </c>
      <c r="P38" s="151">
        <f t="shared" si="8"/>
        <v>0.39365853658536587</v>
      </c>
      <c r="Q38" s="156">
        <f t="shared" si="9"/>
        <v>9.5842887804878062E-3</v>
      </c>
      <c r="R38" s="152">
        <f t="shared" si="10"/>
        <v>66.557560975609761</v>
      </c>
      <c r="S38" s="156">
        <f t="shared" si="11"/>
        <v>7.2000000000000002E-5</v>
      </c>
      <c r="T38" s="155">
        <f t="shared" si="12"/>
        <v>0.78</v>
      </c>
      <c r="U38" s="154">
        <f t="shared" si="13"/>
        <v>0.35818181818181816</v>
      </c>
      <c r="V38" s="156">
        <f t="shared" si="14"/>
        <v>7.9825745454545453E-3</v>
      </c>
      <c r="W38" s="152">
        <f t="shared" si="15"/>
        <v>110.8690909090909</v>
      </c>
      <c r="X38" s="158">
        <v>2</v>
      </c>
      <c r="Y38" s="158">
        <v>2</v>
      </c>
      <c r="Z38" s="151">
        <f t="shared" si="16"/>
        <v>88.713325942350338</v>
      </c>
      <c r="AA38" s="154">
        <f t="shared" si="17"/>
        <v>2.4444444444444446E-2</v>
      </c>
    </row>
    <row r="39" spans="1:27" x14ac:dyDescent="0.25">
      <c r="A39" s="18">
        <v>31</v>
      </c>
      <c r="B39" s="89">
        <v>1</v>
      </c>
      <c r="C39" s="89">
        <v>1</v>
      </c>
      <c r="D39" s="20" t="str">
        <f t="shared" si="0"/>
        <v>2D</v>
      </c>
      <c r="E39" s="86" t="str">
        <f t="shared" si="1"/>
        <v>N.A.</v>
      </c>
      <c r="F39" s="20">
        <f t="shared" si="2"/>
        <v>1</v>
      </c>
      <c r="G39" s="22">
        <f t="shared" si="3"/>
        <v>1</v>
      </c>
      <c r="H39" s="20">
        <f t="shared" si="4"/>
        <v>2.4444444444444446E-2</v>
      </c>
      <c r="I39" s="19" t="s">
        <v>52</v>
      </c>
      <c r="J39" s="79">
        <f t="shared" si="5"/>
        <v>0.12</v>
      </c>
      <c r="L39" s="158">
        <v>0.3</v>
      </c>
      <c r="M39" s="158">
        <v>0.6</v>
      </c>
      <c r="N39" s="156">
        <f t="shared" si="6"/>
        <v>1.44E-4</v>
      </c>
      <c r="O39" s="151">
        <f t="shared" si="7"/>
        <v>1.26</v>
      </c>
      <c r="P39" s="151">
        <f t="shared" si="8"/>
        <v>0.39365853658536587</v>
      </c>
      <c r="Q39" s="156">
        <f t="shared" si="9"/>
        <v>9.5842887804878062E-3</v>
      </c>
      <c r="R39" s="152">
        <f t="shared" si="10"/>
        <v>66.557560975609761</v>
      </c>
      <c r="S39" s="156">
        <f t="shared" si="11"/>
        <v>7.2000000000000002E-5</v>
      </c>
      <c r="T39" s="155">
        <f t="shared" si="12"/>
        <v>0.78</v>
      </c>
      <c r="U39" s="154">
        <f t="shared" si="13"/>
        <v>0.35818181818181816</v>
      </c>
      <c r="V39" s="156">
        <f t="shared" si="14"/>
        <v>7.9825745454545453E-3</v>
      </c>
      <c r="W39" s="152">
        <f t="shared" si="15"/>
        <v>110.8690909090909</v>
      </c>
      <c r="X39" s="158">
        <v>2</v>
      </c>
      <c r="Y39" s="158">
        <v>2</v>
      </c>
      <c r="Z39" s="151">
        <f t="shared" si="16"/>
        <v>88.713325942350338</v>
      </c>
      <c r="AA39" s="154">
        <f t="shared" si="17"/>
        <v>2.4444444444444446E-2</v>
      </c>
    </row>
    <row r="40" spans="1:27" x14ac:dyDescent="0.25">
      <c r="A40" s="18">
        <v>32</v>
      </c>
      <c r="B40" s="89">
        <v>1</v>
      </c>
      <c r="C40" s="89">
        <v>1</v>
      </c>
      <c r="D40" s="20" t="str">
        <f t="shared" si="0"/>
        <v>2D</v>
      </c>
      <c r="E40" s="86" t="str">
        <f t="shared" si="1"/>
        <v>N.A.</v>
      </c>
      <c r="F40" s="20">
        <f t="shared" si="2"/>
        <v>1</v>
      </c>
      <c r="G40" s="22">
        <f t="shared" si="3"/>
        <v>1</v>
      </c>
      <c r="H40" s="20">
        <f t="shared" si="4"/>
        <v>2.4444444444444446E-2</v>
      </c>
      <c r="I40" s="19" t="s">
        <v>52</v>
      </c>
      <c r="J40" s="79">
        <f t="shared" si="5"/>
        <v>0.12</v>
      </c>
      <c r="L40" s="158">
        <v>0.3</v>
      </c>
      <c r="M40" s="158">
        <v>0.6</v>
      </c>
      <c r="N40" s="156">
        <f t="shared" si="6"/>
        <v>1.44E-4</v>
      </c>
      <c r="O40" s="151">
        <f t="shared" si="7"/>
        <v>1.26</v>
      </c>
      <c r="P40" s="151">
        <f t="shared" si="8"/>
        <v>0.39365853658536587</v>
      </c>
      <c r="Q40" s="156">
        <f t="shared" si="9"/>
        <v>9.5842887804878062E-3</v>
      </c>
      <c r="R40" s="152">
        <f t="shared" si="10"/>
        <v>66.557560975609761</v>
      </c>
      <c r="S40" s="156">
        <f t="shared" si="11"/>
        <v>7.2000000000000002E-5</v>
      </c>
      <c r="T40" s="155">
        <f t="shared" si="12"/>
        <v>0.78</v>
      </c>
      <c r="U40" s="154">
        <f t="shared" si="13"/>
        <v>0.35818181818181816</v>
      </c>
      <c r="V40" s="156">
        <f t="shared" si="14"/>
        <v>7.9825745454545453E-3</v>
      </c>
      <c r="W40" s="152">
        <f t="shared" si="15"/>
        <v>110.8690909090909</v>
      </c>
      <c r="X40" s="158">
        <v>2</v>
      </c>
      <c r="Y40" s="158">
        <v>2</v>
      </c>
      <c r="Z40" s="151">
        <f t="shared" si="16"/>
        <v>88.713325942350338</v>
      </c>
      <c r="AA40" s="154">
        <f t="shared" si="17"/>
        <v>2.4444444444444446E-2</v>
      </c>
    </row>
    <row r="41" spans="1:27" x14ac:dyDescent="0.25">
      <c r="A41" s="18">
        <v>33</v>
      </c>
      <c r="B41" s="89">
        <v>1</v>
      </c>
      <c r="C41" s="89">
        <v>1</v>
      </c>
      <c r="D41" s="20" t="str">
        <f t="shared" si="0"/>
        <v>2D</v>
      </c>
      <c r="E41" s="86" t="str">
        <f t="shared" si="1"/>
        <v>N.A.</v>
      </c>
      <c r="F41" s="20">
        <f t="shared" si="2"/>
        <v>1</v>
      </c>
      <c r="G41" s="22">
        <f t="shared" si="3"/>
        <v>1</v>
      </c>
      <c r="H41" s="20">
        <f t="shared" si="4"/>
        <v>2.4444444444444446E-2</v>
      </c>
      <c r="I41" s="19" t="s">
        <v>52</v>
      </c>
      <c r="J41" s="79">
        <f t="shared" si="5"/>
        <v>0.12</v>
      </c>
      <c r="L41" s="158">
        <v>0.3</v>
      </c>
      <c r="M41" s="158">
        <v>0.6</v>
      </c>
      <c r="N41" s="156">
        <f t="shared" si="6"/>
        <v>1.44E-4</v>
      </c>
      <c r="O41" s="151">
        <f t="shared" si="7"/>
        <v>1.26</v>
      </c>
      <c r="P41" s="151">
        <f t="shared" si="8"/>
        <v>0.39365853658536587</v>
      </c>
      <c r="Q41" s="156">
        <f t="shared" si="9"/>
        <v>9.5842887804878062E-3</v>
      </c>
      <c r="R41" s="152">
        <f t="shared" si="10"/>
        <v>66.557560975609761</v>
      </c>
      <c r="S41" s="156">
        <f t="shared" si="11"/>
        <v>7.2000000000000002E-5</v>
      </c>
      <c r="T41" s="155">
        <f t="shared" si="12"/>
        <v>0.78</v>
      </c>
      <c r="U41" s="154">
        <f t="shared" si="13"/>
        <v>0.35818181818181816</v>
      </c>
      <c r="V41" s="156">
        <f t="shared" si="14"/>
        <v>7.9825745454545453E-3</v>
      </c>
      <c r="W41" s="152">
        <f t="shared" si="15"/>
        <v>110.8690909090909</v>
      </c>
      <c r="X41" s="158">
        <v>2</v>
      </c>
      <c r="Y41" s="158">
        <v>2</v>
      </c>
      <c r="Z41" s="151">
        <f t="shared" si="16"/>
        <v>88.713325942350338</v>
      </c>
      <c r="AA41" s="154">
        <f t="shared" si="17"/>
        <v>2.4444444444444446E-2</v>
      </c>
    </row>
    <row r="42" spans="1:27" x14ac:dyDescent="0.25">
      <c r="A42" s="18">
        <v>34</v>
      </c>
      <c r="B42" s="89">
        <v>1</v>
      </c>
      <c r="C42" s="89">
        <v>1</v>
      </c>
      <c r="D42" s="20" t="str">
        <f t="shared" si="0"/>
        <v>2D</v>
      </c>
      <c r="E42" s="86" t="str">
        <f t="shared" si="1"/>
        <v>N.A.</v>
      </c>
      <c r="F42" s="20">
        <f t="shared" si="2"/>
        <v>1</v>
      </c>
      <c r="G42" s="22">
        <f t="shared" si="3"/>
        <v>1</v>
      </c>
      <c r="H42" s="20">
        <f t="shared" si="4"/>
        <v>2.4444444444444446E-2</v>
      </c>
      <c r="I42" s="19" t="s">
        <v>52</v>
      </c>
      <c r="J42" s="79">
        <f t="shared" si="5"/>
        <v>0.12</v>
      </c>
      <c r="L42" s="158">
        <v>0.3</v>
      </c>
      <c r="M42" s="158">
        <v>0.6</v>
      </c>
      <c r="N42" s="156">
        <f t="shared" si="6"/>
        <v>1.44E-4</v>
      </c>
      <c r="O42" s="151">
        <f t="shared" si="7"/>
        <v>1.26</v>
      </c>
      <c r="P42" s="151">
        <f t="shared" si="8"/>
        <v>0.39365853658536587</v>
      </c>
      <c r="Q42" s="156">
        <f t="shared" si="9"/>
        <v>9.5842887804878062E-3</v>
      </c>
      <c r="R42" s="152">
        <f t="shared" si="10"/>
        <v>66.557560975609761</v>
      </c>
      <c r="S42" s="156">
        <f t="shared" si="11"/>
        <v>7.2000000000000002E-5</v>
      </c>
      <c r="T42" s="155">
        <f t="shared" si="12"/>
        <v>0.78</v>
      </c>
      <c r="U42" s="154">
        <f t="shared" si="13"/>
        <v>0.35818181818181816</v>
      </c>
      <c r="V42" s="156">
        <f t="shared" si="14"/>
        <v>7.9825745454545453E-3</v>
      </c>
      <c r="W42" s="152">
        <f t="shared" si="15"/>
        <v>110.8690909090909</v>
      </c>
      <c r="X42" s="158">
        <v>2</v>
      </c>
      <c r="Y42" s="158">
        <v>2</v>
      </c>
      <c r="Z42" s="151">
        <f t="shared" si="16"/>
        <v>88.713325942350338</v>
      </c>
      <c r="AA42" s="154">
        <f t="shared" si="17"/>
        <v>2.4444444444444446E-2</v>
      </c>
    </row>
    <row r="43" spans="1:27" x14ac:dyDescent="0.25">
      <c r="A43" s="18">
        <v>35</v>
      </c>
      <c r="B43" s="89">
        <v>1</v>
      </c>
      <c r="C43" s="89">
        <v>1</v>
      </c>
      <c r="D43" s="20" t="str">
        <f t="shared" si="0"/>
        <v>2D</v>
      </c>
      <c r="E43" s="86" t="str">
        <f t="shared" si="1"/>
        <v>N.A.</v>
      </c>
      <c r="F43" s="20">
        <f t="shared" si="2"/>
        <v>1</v>
      </c>
      <c r="G43" s="22">
        <f t="shared" si="3"/>
        <v>1</v>
      </c>
      <c r="H43" s="20">
        <f t="shared" si="4"/>
        <v>2.4444444444444446E-2</v>
      </c>
      <c r="I43" s="19" t="s">
        <v>52</v>
      </c>
      <c r="J43" s="79">
        <f t="shared" si="5"/>
        <v>0.12</v>
      </c>
      <c r="L43" s="158">
        <v>0.3</v>
      </c>
      <c r="M43" s="158">
        <v>0.6</v>
      </c>
      <c r="N43" s="156">
        <f t="shared" si="6"/>
        <v>1.44E-4</v>
      </c>
      <c r="O43" s="151">
        <f t="shared" si="7"/>
        <v>1.26</v>
      </c>
      <c r="P43" s="151">
        <f t="shared" si="8"/>
        <v>0.39365853658536587</v>
      </c>
      <c r="Q43" s="156">
        <f t="shared" si="9"/>
        <v>9.5842887804878062E-3</v>
      </c>
      <c r="R43" s="152">
        <f t="shared" si="10"/>
        <v>66.557560975609761</v>
      </c>
      <c r="S43" s="156">
        <f t="shared" si="11"/>
        <v>7.2000000000000002E-5</v>
      </c>
      <c r="T43" s="155">
        <f t="shared" si="12"/>
        <v>0.78</v>
      </c>
      <c r="U43" s="154">
        <f t="shared" si="13"/>
        <v>0.35818181818181816</v>
      </c>
      <c r="V43" s="156">
        <f t="shared" si="14"/>
        <v>7.9825745454545453E-3</v>
      </c>
      <c r="W43" s="152">
        <f t="shared" si="15"/>
        <v>110.8690909090909</v>
      </c>
      <c r="X43" s="158">
        <v>2</v>
      </c>
      <c r="Y43" s="158">
        <v>2</v>
      </c>
      <c r="Z43" s="151">
        <f t="shared" si="16"/>
        <v>88.713325942350338</v>
      </c>
      <c r="AA43" s="154">
        <f t="shared" si="17"/>
        <v>2.4444444444444446E-2</v>
      </c>
    </row>
    <row r="44" spans="1:27" x14ac:dyDescent="0.25">
      <c r="A44" s="18">
        <v>36</v>
      </c>
      <c r="B44" s="89">
        <v>1</v>
      </c>
      <c r="C44" s="89">
        <v>1</v>
      </c>
      <c r="D44" s="20" t="str">
        <f t="shared" si="0"/>
        <v>2D</v>
      </c>
      <c r="E44" s="86" t="str">
        <f t="shared" si="1"/>
        <v>N.A.</v>
      </c>
      <c r="F44" s="20">
        <f t="shared" si="2"/>
        <v>1</v>
      </c>
      <c r="G44" s="22">
        <f t="shared" si="3"/>
        <v>1</v>
      </c>
      <c r="H44" s="20">
        <f t="shared" si="4"/>
        <v>2.4444444444444446E-2</v>
      </c>
      <c r="I44" s="19" t="s">
        <v>52</v>
      </c>
      <c r="J44" s="79">
        <f t="shared" si="5"/>
        <v>0.12</v>
      </c>
      <c r="L44" s="158">
        <v>0.3</v>
      </c>
      <c r="M44" s="158">
        <v>0.6</v>
      </c>
      <c r="N44" s="156">
        <f t="shared" si="6"/>
        <v>1.44E-4</v>
      </c>
      <c r="O44" s="151">
        <f t="shared" si="7"/>
        <v>1.26</v>
      </c>
      <c r="P44" s="151">
        <f t="shared" si="8"/>
        <v>0.39365853658536587</v>
      </c>
      <c r="Q44" s="156">
        <f t="shared" si="9"/>
        <v>9.5842887804878062E-3</v>
      </c>
      <c r="R44" s="152">
        <f t="shared" si="10"/>
        <v>66.557560975609761</v>
      </c>
      <c r="S44" s="156">
        <f t="shared" si="11"/>
        <v>7.2000000000000002E-5</v>
      </c>
      <c r="T44" s="155">
        <f t="shared" si="12"/>
        <v>0.78</v>
      </c>
      <c r="U44" s="154">
        <f t="shared" si="13"/>
        <v>0.35818181818181816</v>
      </c>
      <c r="V44" s="156">
        <f t="shared" si="14"/>
        <v>7.9825745454545453E-3</v>
      </c>
      <c r="W44" s="152">
        <f t="shared" si="15"/>
        <v>110.8690909090909</v>
      </c>
      <c r="X44" s="158">
        <v>2</v>
      </c>
      <c r="Y44" s="158">
        <v>2</v>
      </c>
      <c r="Z44" s="151">
        <f t="shared" si="16"/>
        <v>88.713325942350338</v>
      </c>
      <c r="AA44" s="154">
        <f t="shared" si="17"/>
        <v>2.4444444444444446E-2</v>
      </c>
    </row>
    <row r="45" spans="1:27" x14ac:dyDescent="0.25">
      <c r="A45" s="18">
        <v>37</v>
      </c>
      <c r="B45" s="89">
        <v>1</v>
      </c>
      <c r="C45" s="89">
        <v>1</v>
      </c>
      <c r="D45" s="20" t="str">
        <f t="shared" si="0"/>
        <v>2D</v>
      </c>
      <c r="E45" s="86" t="str">
        <f t="shared" si="1"/>
        <v>N.A.</v>
      </c>
      <c r="F45" s="20">
        <f t="shared" si="2"/>
        <v>1</v>
      </c>
      <c r="G45" s="22">
        <f t="shared" si="3"/>
        <v>1</v>
      </c>
      <c r="H45" s="20">
        <f t="shared" si="4"/>
        <v>2.4444444444444446E-2</v>
      </c>
      <c r="I45" s="19" t="s">
        <v>52</v>
      </c>
      <c r="J45" s="79">
        <f t="shared" si="5"/>
        <v>0.12</v>
      </c>
      <c r="L45" s="158">
        <v>0.3</v>
      </c>
      <c r="M45" s="158">
        <v>0.6</v>
      </c>
      <c r="N45" s="156">
        <f t="shared" si="6"/>
        <v>1.44E-4</v>
      </c>
      <c r="O45" s="151">
        <f t="shared" si="7"/>
        <v>1.26</v>
      </c>
      <c r="P45" s="151">
        <f t="shared" si="8"/>
        <v>0.39365853658536587</v>
      </c>
      <c r="Q45" s="156">
        <f t="shared" si="9"/>
        <v>9.5842887804878062E-3</v>
      </c>
      <c r="R45" s="152">
        <f t="shared" si="10"/>
        <v>66.557560975609761</v>
      </c>
      <c r="S45" s="156">
        <f t="shared" si="11"/>
        <v>7.2000000000000002E-5</v>
      </c>
      <c r="T45" s="155">
        <f t="shared" si="12"/>
        <v>0.78</v>
      </c>
      <c r="U45" s="154">
        <f t="shared" si="13"/>
        <v>0.35818181818181816</v>
      </c>
      <c r="V45" s="156">
        <f t="shared" si="14"/>
        <v>7.9825745454545453E-3</v>
      </c>
      <c r="W45" s="152">
        <f t="shared" si="15"/>
        <v>110.8690909090909</v>
      </c>
      <c r="X45" s="158">
        <v>2</v>
      </c>
      <c r="Y45" s="158">
        <v>2</v>
      </c>
      <c r="Z45" s="151">
        <f t="shared" si="16"/>
        <v>88.713325942350338</v>
      </c>
      <c r="AA45" s="154">
        <f t="shared" si="17"/>
        <v>2.4444444444444446E-2</v>
      </c>
    </row>
    <row r="46" spans="1:27" x14ac:dyDescent="0.25">
      <c r="A46" s="18">
        <v>38</v>
      </c>
      <c r="B46" s="89">
        <v>1</v>
      </c>
      <c r="C46" s="89">
        <v>1</v>
      </c>
      <c r="D46" s="20" t="str">
        <f t="shared" si="0"/>
        <v>2D</v>
      </c>
      <c r="E46" s="86" t="str">
        <f t="shared" si="1"/>
        <v>N.A.</v>
      </c>
      <c r="F46" s="20">
        <f t="shared" si="2"/>
        <v>1</v>
      </c>
      <c r="G46" s="22">
        <f t="shared" si="3"/>
        <v>1</v>
      </c>
      <c r="H46" s="20">
        <f t="shared" si="4"/>
        <v>2.4444444444444446E-2</v>
      </c>
      <c r="I46" s="19" t="s">
        <v>52</v>
      </c>
      <c r="J46" s="79">
        <f t="shared" si="5"/>
        <v>0.12</v>
      </c>
      <c r="L46" s="158">
        <v>0.3</v>
      </c>
      <c r="M46" s="158">
        <v>0.6</v>
      </c>
      <c r="N46" s="156">
        <f t="shared" si="6"/>
        <v>1.44E-4</v>
      </c>
      <c r="O46" s="151">
        <f t="shared" si="7"/>
        <v>1.26</v>
      </c>
      <c r="P46" s="151">
        <f t="shared" si="8"/>
        <v>0.39365853658536587</v>
      </c>
      <c r="Q46" s="156">
        <f t="shared" si="9"/>
        <v>9.5842887804878062E-3</v>
      </c>
      <c r="R46" s="152">
        <f t="shared" si="10"/>
        <v>66.557560975609761</v>
      </c>
      <c r="S46" s="156">
        <f t="shared" si="11"/>
        <v>7.2000000000000002E-5</v>
      </c>
      <c r="T46" s="155">
        <f t="shared" si="12"/>
        <v>0.78</v>
      </c>
      <c r="U46" s="154">
        <f t="shared" si="13"/>
        <v>0.35818181818181816</v>
      </c>
      <c r="V46" s="156">
        <f t="shared" si="14"/>
        <v>7.9825745454545453E-3</v>
      </c>
      <c r="W46" s="152">
        <f t="shared" si="15"/>
        <v>110.8690909090909</v>
      </c>
      <c r="X46" s="158">
        <v>2</v>
      </c>
      <c r="Y46" s="158">
        <v>2</v>
      </c>
      <c r="Z46" s="151">
        <f t="shared" si="16"/>
        <v>88.713325942350338</v>
      </c>
      <c r="AA46" s="154">
        <f t="shared" si="17"/>
        <v>2.4444444444444446E-2</v>
      </c>
    </row>
    <row r="47" spans="1:27" x14ac:dyDescent="0.25">
      <c r="A47" s="18">
        <v>39</v>
      </c>
      <c r="B47" s="89">
        <v>1</v>
      </c>
      <c r="C47" s="89">
        <v>1</v>
      </c>
      <c r="D47" s="20" t="str">
        <f t="shared" si="0"/>
        <v>2D</v>
      </c>
      <c r="E47" s="86" t="str">
        <f t="shared" si="1"/>
        <v>N.A.</v>
      </c>
      <c r="F47" s="20">
        <f t="shared" si="2"/>
        <v>1</v>
      </c>
      <c r="G47" s="22">
        <f t="shared" si="3"/>
        <v>1</v>
      </c>
      <c r="H47" s="20">
        <f t="shared" si="4"/>
        <v>2.4444444444444446E-2</v>
      </c>
      <c r="I47" s="19" t="s">
        <v>52</v>
      </c>
      <c r="J47" s="79">
        <f t="shared" si="5"/>
        <v>0.12</v>
      </c>
      <c r="L47" s="158">
        <v>0.3</v>
      </c>
      <c r="M47" s="158">
        <v>0.6</v>
      </c>
      <c r="N47" s="156">
        <f t="shared" si="6"/>
        <v>1.44E-4</v>
      </c>
      <c r="O47" s="151">
        <f t="shared" si="7"/>
        <v>1.26</v>
      </c>
      <c r="P47" s="151">
        <f t="shared" si="8"/>
        <v>0.39365853658536587</v>
      </c>
      <c r="Q47" s="156">
        <f t="shared" si="9"/>
        <v>9.5842887804878062E-3</v>
      </c>
      <c r="R47" s="152">
        <f t="shared" si="10"/>
        <v>66.557560975609761</v>
      </c>
      <c r="S47" s="156">
        <f t="shared" si="11"/>
        <v>7.2000000000000002E-5</v>
      </c>
      <c r="T47" s="155">
        <f t="shared" si="12"/>
        <v>0.78</v>
      </c>
      <c r="U47" s="154">
        <f t="shared" si="13"/>
        <v>0.35818181818181816</v>
      </c>
      <c r="V47" s="156">
        <f t="shared" si="14"/>
        <v>7.9825745454545453E-3</v>
      </c>
      <c r="W47" s="152">
        <f t="shared" si="15"/>
        <v>110.8690909090909</v>
      </c>
      <c r="X47" s="158">
        <v>2</v>
      </c>
      <c r="Y47" s="158">
        <v>2</v>
      </c>
      <c r="Z47" s="151">
        <f t="shared" si="16"/>
        <v>88.713325942350338</v>
      </c>
      <c r="AA47" s="154">
        <f t="shared" si="17"/>
        <v>2.4444444444444446E-2</v>
      </c>
    </row>
    <row r="48" spans="1:27" x14ac:dyDescent="0.25">
      <c r="A48" s="18">
        <v>40</v>
      </c>
      <c r="B48" s="89">
        <v>1</v>
      </c>
      <c r="C48" s="89">
        <v>1</v>
      </c>
      <c r="D48" s="20" t="str">
        <f t="shared" si="0"/>
        <v>2D</v>
      </c>
      <c r="E48" s="86" t="str">
        <f t="shared" si="1"/>
        <v>N.A.</v>
      </c>
      <c r="F48" s="20">
        <f t="shared" si="2"/>
        <v>1</v>
      </c>
      <c r="G48" s="22">
        <f t="shared" si="3"/>
        <v>1</v>
      </c>
      <c r="H48" s="20">
        <f t="shared" si="4"/>
        <v>2.4444444444444446E-2</v>
      </c>
      <c r="I48" s="19" t="s">
        <v>52</v>
      </c>
      <c r="J48" s="79">
        <f t="shared" si="5"/>
        <v>0.12</v>
      </c>
      <c r="L48" s="158">
        <v>0.3</v>
      </c>
      <c r="M48" s="158">
        <v>0.6</v>
      </c>
      <c r="N48" s="156">
        <f t="shared" si="6"/>
        <v>1.44E-4</v>
      </c>
      <c r="O48" s="151">
        <f t="shared" si="7"/>
        <v>1.26</v>
      </c>
      <c r="P48" s="151">
        <f t="shared" si="8"/>
        <v>0.39365853658536587</v>
      </c>
      <c r="Q48" s="156">
        <f t="shared" si="9"/>
        <v>9.5842887804878062E-3</v>
      </c>
      <c r="R48" s="152">
        <f t="shared" si="10"/>
        <v>66.557560975609761</v>
      </c>
      <c r="S48" s="156">
        <f t="shared" si="11"/>
        <v>7.2000000000000002E-5</v>
      </c>
      <c r="T48" s="155">
        <f t="shared" si="12"/>
        <v>0.78</v>
      </c>
      <c r="U48" s="154">
        <f t="shared" si="13"/>
        <v>0.35818181818181816</v>
      </c>
      <c r="V48" s="156">
        <f t="shared" si="14"/>
        <v>7.9825745454545453E-3</v>
      </c>
      <c r="W48" s="152">
        <f t="shared" si="15"/>
        <v>110.8690909090909</v>
      </c>
      <c r="X48" s="158">
        <v>2</v>
      </c>
      <c r="Y48" s="158">
        <v>2</v>
      </c>
      <c r="Z48" s="151">
        <f t="shared" si="16"/>
        <v>88.713325942350338</v>
      </c>
      <c r="AA48" s="154">
        <f t="shared" si="17"/>
        <v>2.4444444444444446E-2</v>
      </c>
    </row>
    <row r="49" spans="1:27" x14ac:dyDescent="0.25">
      <c r="A49" s="18">
        <v>41</v>
      </c>
      <c r="B49" s="89">
        <v>1</v>
      </c>
      <c r="C49" s="89">
        <v>1</v>
      </c>
      <c r="D49" s="20" t="str">
        <f t="shared" si="0"/>
        <v>2D</v>
      </c>
      <c r="E49" s="86" t="str">
        <f t="shared" si="1"/>
        <v>N.A.</v>
      </c>
      <c r="F49" s="20">
        <f t="shared" si="2"/>
        <v>1</v>
      </c>
      <c r="G49" s="22">
        <f t="shared" si="3"/>
        <v>1</v>
      </c>
      <c r="H49" s="20">
        <f t="shared" si="4"/>
        <v>2.4444444444444446E-2</v>
      </c>
      <c r="I49" s="19" t="s">
        <v>52</v>
      </c>
      <c r="J49" s="79">
        <f t="shared" si="5"/>
        <v>0.12</v>
      </c>
      <c r="L49" s="158">
        <v>0.3</v>
      </c>
      <c r="M49" s="158">
        <v>0.6</v>
      </c>
      <c r="N49" s="156">
        <f t="shared" si="6"/>
        <v>1.44E-4</v>
      </c>
      <c r="O49" s="151">
        <f t="shared" si="7"/>
        <v>1.26</v>
      </c>
      <c r="P49" s="151">
        <f t="shared" si="8"/>
        <v>0.39365853658536587</v>
      </c>
      <c r="Q49" s="156">
        <f t="shared" si="9"/>
        <v>9.5842887804878062E-3</v>
      </c>
      <c r="R49" s="152">
        <f t="shared" si="10"/>
        <v>66.557560975609761</v>
      </c>
      <c r="S49" s="156">
        <f t="shared" si="11"/>
        <v>7.2000000000000002E-5</v>
      </c>
      <c r="T49" s="155">
        <f t="shared" si="12"/>
        <v>0.78</v>
      </c>
      <c r="U49" s="154">
        <f t="shared" si="13"/>
        <v>0.35818181818181816</v>
      </c>
      <c r="V49" s="156">
        <f t="shared" si="14"/>
        <v>7.9825745454545453E-3</v>
      </c>
      <c r="W49" s="152">
        <f t="shared" si="15"/>
        <v>110.8690909090909</v>
      </c>
      <c r="X49" s="158">
        <v>2</v>
      </c>
      <c r="Y49" s="158">
        <v>2</v>
      </c>
      <c r="Z49" s="151">
        <f t="shared" si="16"/>
        <v>88.713325942350338</v>
      </c>
      <c r="AA49" s="154">
        <f t="shared" si="17"/>
        <v>2.4444444444444446E-2</v>
      </c>
    </row>
    <row r="50" spans="1:27" x14ac:dyDescent="0.25">
      <c r="A50" s="18">
        <v>42</v>
      </c>
      <c r="B50" s="89">
        <v>1</v>
      </c>
      <c r="C50" s="89">
        <v>1</v>
      </c>
      <c r="D50" s="20" t="str">
        <f t="shared" si="0"/>
        <v>2D</v>
      </c>
      <c r="E50" s="86" t="str">
        <f t="shared" si="1"/>
        <v>N.A.</v>
      </c>
      <c r="F50" s="20">
        <f t="shared" si="2"/>
        <v>1</v>
      </c>
      <c r="G50" s="22">
        <f t="shared" si="3"/>
        <v>1</v>
      </c>
      <c r="H50" s="20">
        <f t="shared" si="4"/>
        <v>2.4444444444444446E-2</v>
      </c>
      <c r="I50" s="19" t="s">
        <v>52</v>
      </c>
      <c r="J50" s="79">
        <f t="shared" si="5"/>
        <v>0.12</v>
      </c>
      <c r="L50" s="158">
        <v>0.3</v>
      </c>
      <c r="M50" s="158">
        <v>0.6</v>
      </c>
      <c r="N50" s="156">
        <f t="shared" si="6"/>
        <v>1.44E-4</v>
      </c>
      <c r="O50" s="151">
        <f t="shared" si="7"/>
        <v>1.26</v>
      </c>
      <c r="P50" s="151">
        <f t="shared" si="8"/>
        <v>0.39365853658536587</v>
      </c>
      <c r="Q50" s="156">
        <f t="shared" si="9"/>
        <v>9.5842887804878062E-3</v>
      </c>
      <c r="R50" s="152">
        <f t="shared" si="10"/>
        <v>66.557560975609761</v>
      </c>
      <c r="S50" s="156">
        <f t="shared" si="11"/>
        <v>7.2000000000000002E-5</v>
      </c>
      <c r="T50" s="155">
        <f t="shared" si="12"/>
        <v>0.78</v>
      </c>
      <c r="U50" s="154">
        <f t="shared" si="13"/>
        <v>0.35818181818181816</v>
      </c>
      <c r="V50" s="156">
        <f t="shared" si="14"/>
        <v>7.9825745454545453E-3</v>
      </c>
      <c r="W50" s="152">
        <f t="shared" si="15"/>
        <v>110.8690909090909</v>
      </c>
      <c r="X50" s="158">
        <v>2</v>
      </c>
      <c r="Y50" s="158">
        <v>2</v>
      </c>
      <c r="Z50" s="151">
        <f t="shared" si="16"/>
        <v>88.713325942350338</v>
      </c>
      <c r="AA50" s="154">
        <f t="shared" si="17"/>
        <v>2.4444444444444446E-2</v>
      </c>
    </row>
    <row r="51" spans="1:27" x14ac:dyDescent="0.25">
      <c r="A51" s="18">
        <v>43</v>
      </c>
      <c r="B51" s="89">
        <v>1</v>
      </c>
      <c r="C51" s="89">
        <v>1</v>
      </c>
      <c r="D51" s="20" t="str">
        <f t="shared" si="0"/>
        <v>2D</v>
      </c>
      <c r="E51" s="86" t="str">
        <f t="shared" si="1"/>
        <v>N.A.</v>
      </c>
      <c r="F51" s="20">
        <f t="shared" si="2"/>
        <v>1</v>
      </c>
      <c r="G51" s="22">
        <f t="shared" si="3"/>
        <v>1</v>
      </c>
      <c r="H51" s="20">
        <f t="shared" si="4"/>
        <v>2.4444444444444446E-2</v>
      </c>
      <c r="I51" s="19" t="s">
        <v>52</v>
      </c>
      <c r="J51" s="79">
        <f t="shared" si="5"/>
        <v>0.12</v>
      </c>
      <c r="L51" s="158">
        <v>0.3</v>
      </c>
      <c r="M51" s="158">
        <v>0.6</v>
      </c>
      <c r="N51" s="156">
        <f t="shared" si="6"/>
        <v>1.44E-4</v>
      </c>
      <c r="O51" s="151">
        <f t="shared" si="7"/>
        <v>1.26</v>
      </c>
      <c r="P51" s="151">
        <f t="shared" si="8"/>
        <v>0.39365853658536587</v>
      </c>
      <c r="Q51" s="156">
        <f t="shared" si="9"/>
        <v>9.5842887804878062E-3</v>
      </c>
      <c r="R51" s="152">
        <f t="shared" si="10"/>
        <v>66.557560975609761</v>
      </c>
      <c r="S51" s="156">
        <f t="shared" si="11"/>
        <v>7.2000000000000002E-5</v>
      </c>
      <c r="T51" s="155">
        <f t="shared" si="12"/>
        <v>0.78</v>
      </c>
      <c r="U51" s="154">
        <f t="shared" si="13"/>
        <v>0.35818181818181816</v>
      </c>
      <c r="V51" s="156">
        <f t="shared" si="14"/>
        <v>7.9825745454545453E-3</v>
      </c>
      <c r="W51" s="152">
        <f t="shared" si="15"/>
        <v>110.8690909090909</v>
      </c>
      <c r="X51" s="158">
        <v>2</v>
      </c>
      <c r="Y51" s="158">
        <v>2</v>
      </c>
      <c r="Z51" s="151">
        <f t="shared" si="16"/>
        <v>88.713325942350338</v>
      </c>
      <c r="AA51" s="154">
        <f t="shared" si="17"/>
        <v>2.4444444444444446E-2</v>
      </c>
    </row>
    <row r="52" spans="1:27" x14ac:dyDescent="0.25">
      <c r="A52" s="18">
        <v>44</v>
      </c>
      <c r="B52" s="89">
        <v>1</v>
      </c>
      <c r="C52" s="89">
        <v>1</v>
      </c>
      <c r="D52" s="20" t="str">
        <f t="shared" si="0"/>
        <v>2D</v>
      </c>
      <c r="E52" s="86" t="str">
        <f t="shared" si="1"/>
        <v>N.A.</v>
      </c>
      <c r="F52" s="20">
        <f t="shared" si="2"/>
        <v>1</v>
      </c>
      <c r="G52" s="22">
        <f t="shared" si="3"/>
        <v>1</v>
      </c>
      <c r="H52" s="20">
        <f t="shared" si="4"/>
        <v>2.4444444444444446E-2</v>
      </c>
      <c r="I52" s="19" t="s">
        <v>52</v>
      </c>
      <c r="J52" s="79">
        <f t="shared" si="5"/>
        <v>0.12</v>
      </c>
      <c r="L52" s="158">
        <v>0.3</v>
      </c>
      <c r="M52" s="158">
        <v>0.6</v>
      </c>
      <c r="N52" s="156">
        <f t="shared" si="6"/>
        <v>1.44E-4</v>
      </c>
      <c r="O52" s="151">
        <f t="shared" si="7"/>
        <v>1.26</v>
      </c>
      <c r="P52" s="151">
        <f t="shared" si="8"/>
        <v>0.39365853658536587</v>
      </c>
      <c r="Q52" s="156">
        <f t="shared" si="9"/>
        <v>9.5842887804878062E-3</v>
      </c>
      <c r="R52" s="152">
        <f t="shared" si="10"/>
        <v>66.557560975609761</v>
      </c>
      <c r="S52" s="156">
        <f t="shared" si="11"/>
        <v>7.2000000000000002E-5</v>
      </c>
      <c r="T52" s="155">
        <f t="shared" si="12"/>
        <v>0.78</v>
      </c>
      <c r="U52" s="154">
        <f t="shared" si="13"/>
        <v>0.35818181818181816</v>
      </c>
      <c r="V52" s="156">
        <f t="shared" si="14"/>
        <v>7.9825745454545453E-3</v>
      </c>
      <c r="W52" s="152">
        <f t="shared" si="15"/>
        <v>110.8690909090909</v>
      </c>
      <c r="X52" s="158">
        <v>2</v>
      </c>
      <c r="Y52" s="158">
        <v>2</v>
      </c>
      <c r="Z52" s="151">
        <f t="shared" si="16"/>
        <v>88.713325942350338</v>
      </c>
      <c r="AA52" s="154">
        <f t="shared" si="17"/>
        <v>2.4444444444444446E-2</v>
      </c>
    </row>
    <row r="53" spans="1:27" x14ac:dyDescent="0.25">
      <c r="A53" s="18">
        <v>45</v>
      </c>
      <c r="B53" s="89">
        <v>1</v>
      </c>
      <c r="C53" s="89">
        <v>1</v>
      </c>
      <c r="D53" s="20" t="str">
        <f t="shared" si="0"/>
        <v>2D</v>
      </c>
      <c r="E53" s="86" t="str">
        <f t="shared" si="1"/>
        <v>N.A.</v>
      </c>
      <c r="F53" s="20">
        <f t="shared" si="2"/>
        <v>1</v>
      </c>
      <c r="G53" s="22">
        <f t="shared" si="3"/>
        <v>1</v>
      </c>
      <c r="H53" s="20">
        <f t="shared" si="4"/>
        <v>2.4444444444444446E-2</v>
      </c>
      <c r="I53" s="19" t="s">
        <v>52</v>
      </c>
      <c r="J53" s="79">
        <f t="shared" si="5"/>
        <v>0.12</v>
      </c>
      <c r="L53" s="158">
        <v>0.3</v>
      </c>
      <c r="M53" s="158">
        <v>0.6</v>
      </c>
      <c r="N53" s="156">
        <f t="shared" si="6"/>
        <v>1.44E-4</v>
      </c>
      <c r="O53" s="151">
        <f t="shared" si="7"/>
        <v>1.26</v>
      </c>
      <c r="P53" s="151">
        <f t="shared" si="8"/>
        <v>0.39365853658536587</v>
      </c>
      <c r="Q53" s="156">
        <f t="shared" si="9"/>
        <v>9.5842887804878062E-3</v>
      </c>
      <c r="R53" s="152">
        <f t="shared" si="10"/>
        <v>66.557560975609761</v>
      </c>
      <c r="S53" s="156">
        <f t="shared" si="11"/>
        <v>7.2000000000000002E-5</v>
      </c>
      <c r="T53" s="155">
        <f t="shared" si="12"/>
        <v>0.78</v>
      </c>
      <c r="U53" s="154">
        <f t="shared" si="13"/>
        <v>0.35818181818181816</v>
      </c>
      <c r="V53" s="156">
        <f t="shared" si="14"/>
        <v>7.9825745454545453E-3</v>
      </c>
      <c r="W53" s="152">
        <f t="shared" si="15"/>
        <v>110.8690909090909</v>
      </c>
      <c r="X53" s="158">
        <v>2</v>
      </c>
      <c r="Y53" s="158">
        <v>2</v>
      </c>
      <c r="Z53" s="151">
        <f t="shared" si="16"/>
        <v>88.713325942350338</v>
      </c>
      <c r="AA53" s="154">
        <f t="shared" si="17"/>
        <v>2.4444444444444446E-2</v>
      </c>
    </row>
    <row r="54" spans="1:27" x14ac:dyDescent="0.25">
      <c r="A54" s="18">
        <v>46</v>
      </c>
      <c r="B54" s="89">
        <v>1</v>
      </c>
      <c r="C54" s="89">
        <v>1</v>
      </c>
      <c r="D54" s="20" t="str">
        <f t="shared" si="0"/>
        <v>2D</v>
      </c>
      <c r="E54" s="86" t="str">
        <f t="shared" si="1"/>
        <v>N.A.</v>
      </c>
      <c r="F54" s="20">
        <f t="shared" si="2"/>
        <v>1</v>
      </c>
      <c r="G54" s="22">
        <f t="shared" si="3"/>
        <v>1</v>
      </c>
      <c r="H54" s="20">
        <f t="shared" si="4"/>
        <v>2.4444444444444446E-2</v>
      </c>
      <c r="I54" s="19" t="s">
        <v>52</v>
      </c>
      <c r="J54" s="79">
        <f t="shared" si="5"/>
        <v>0.12</v>
      </c>
      <c r="L54" s="158">
        <v>0.3</v>
      </c>
      <c r="M54" s="158">
        <v>0.6</v>
      </c>
      <c r="N54" s="156">
        <f t="shared" si="6"/>
        <v>1.44E-4</v>
      </c>
      <c r="O54" s="151">
        <f t="shared" si="7"/>
        <v>1.26</v>
      </c>
      <c r="P54" s="151">
        <f t="shared" si="8"/>
        <v>0.39365853658536587</v>
      </c>
      <c r="Q54" s="156">
        <f t="shared" si="9"/>
        <v>9.5842887804878062E-3</v>
      </c>
      <c r="R54" s="152">
        <f t="shared" si="10"/>
        <v>66.557560975609761</v>
      </c>
      <c r="S54" s="156">
        <f t="shared" si="11"/>
        <v>7.2000000000000002E-5</v>
      </c>
      <c r="T54" s="155">
        <f t="shared" si="12"/>
        <v>0.78</v>
      </c>
      <c r="U54" s="154">
        <f t="shared" si="13"/>
        <v>0.35818181818181816</v>
      </c>
      <c r="V54" s="156">
        <f t="shared" si="14"/>
        <v>7.9825745454545453E-3</v>
      </c>
      <c r="W54" s="152">
        <f t="shared" si="15"/>
        <v>110.8690909090909</v>
      </c>
      <c r="X54" s="158">
        <v>2</v>
      </c>
      <c r="Y54" s="158">
        <v>2</v>
      </c>
      <c r="Z54" s="151">
        <f t="shared" si="16"/>
        <v>88.713325942350338</v>
      </c>
      <c r="AA54" s="154">
        <f t="shared" si="17"/>
        <v>2.4444444444444446E-2</v>
      </c>
    </row>
    <row r="55" spans="1:27" x14ac:dyDescent="0.25">
      <c r="A55" s="18">
        <v>47</v>
      </c>
      <c r="B55" s="89">
        <v>1</v>
      </c>
      <c r="C55" s="89">
        <v>1</v>
      </c>
      <c r="D55" s="20" t="str">
        <f t="shared" si="0"/>
        <v>2D</v>
      </c>
      <c r="E55" s="86" t="str">
        <f t="shared" si="1"/>
        <v>N.A.</v>
      </c>
      <c r="F55" s="20">
        <f t="shared" si="2"/>
        <v>1</v>
      </c>
      <c r="G55" s="22">
        <f t="shared" si="3"/>
        <v>1</v>
      </c>
      <c r="H55" s="20">
        <f t="shared" si="4"/>
        <v>2.4444444444444446E-2</v>
      </c>
      <c r="I55" s="19" t="s">
        <v>52</v>
      </c>
      <c r="J55" s="79">
        <f t="shared" si="5"/>
        <v>0.12</v>
      </c>
      <c r="L55" s="158">
        <v>0.3</v>
      </c>
      <c r="M55" s="158">
        <v>0.6</v>
      </c>
      <c r="N55" s="156">
        <f t="shared" si="6"/>
        <v>1.44E-4</v>
      </c>
      <c r="O55" s="151">
        <f t="shared" si="7"/>
        <v>1.26</v>
      </c>
      <c r="P55" s="151">
        <f t="shared" si="8"/>
        <v>0.39365853658536587</v>
      </c>
      <c r="Q55" s="156">
        <f t="shared" si="9"/>
        <v>9.5842887804878062E-3</v>
      </c>
      <c r="R55" s="152">
        <f t="shared" si="10"/>
        <v>66.557560975609761</v>
      </c>
      <c r="S55" s="156">
        <f t="shared" si="11"/>
        <v>7.2000000000000002E-5</v>
      </c>
      <c r="T55" s="155">
        <f t="shared" si="12"/>
        <v>0.78</v>
      </c>
      <c r="U55" s="154">
        <f t="shared" si="13"/>
        <v>0.35818181818181816</v>
      </c>
      <c r="V55" s="156">
        <f t="shared" si="14"/>
        <v>7.9825745454545453E-3</v>
      </c>
      <c r="W55" s="152">
        <f t="shared" si="15"/>
        <v>110.8690909090909</v>
      </c>
      <c r="X55" s="158">
        <v>2</v>
      </c>
      <c r="Y55" s="158">
        <v>2</v>
      </c>
      <c r="Z55" s="151">
        <f t="shared" si="16"/>
        <v>88.713325942350338</v>
      </c>
      <c r="AA55" s="154">
        <f t="shared" si="17"/>
        <v>2.4444444444444446E-2</v>
      </c>
    </row>
    <row r="56" spans="1:27" x14ac:dyDescent="0.25">
      <c r="A56" s="18">
        <v>48</v>
      </c>
      <c r="B56" s="89">
        <v>1</v>
      </c>
      <c r="C56" s="89">
        <v>1</v>
      </c>
      <c r="D56" s="20" t="str">
        <f t="shared" si="0"/>
        <v>2D</v>
      </c>
      <c r="E56" s="86" t="str">
        <f t="shared" si="1"/>
        <v>N.A.</v>
      </c>
      <c r="F56" s="20">
        <f t="shared" si="2"/>
        <v>1</v>
      </c>
      <c r="G56" s="22">
        <f t="shared" si="3"/>
        <v>1</v>
      </c>
      <c r="H56" s="20">
        <f t="shared" si="4"/>
        <v>2.4444444444444446E-2</v>
      </c>
      <c r="I56" s="19" t="s">
        <v>52</v>
      </c>
      <c r="J56" s="79">
        <f t="shared" si="5"/>
        <v>0.12</v>
      </c>
      <c r="L56" s="158">
        <v>0.3</v>
      </c>
      <c r="M56" s="158">
        <v>0.6</v>
      </c>
      <c r="N56" s="156">
        <f t="shared" si="6"/>
        <v>1.44E-4</v>
      </c>
      <c r="O56" s="151">
        <f t="shared" si="7"/>
        <v>1.26</v>
      </c>
      <c r="P56" s="151">
        <f t="shared" si="8"/>
        <v>0.39365853658536587</v>
      </c>
      <c r="Q56" s="156">
        <f t="shared" si="9"/>
        <v>9.5842887804878062E-3</v>
      </c>
      <c r="R56" s="152">
        <f t="shared" si="10"/>
        <v>66.557560975609761</v>
      </c>
      <c r="S56" s="156">
        <f t="shared" si="11"/>
        <v>7.2000000000000002E-5</v>
      </c>
      <c r="T56" s="155">
        <f t="shared" si="12"/>
        <v>0.78</v>
      </c>
      <c r="U56" s="154">
        <f t="shared" si="13"/>
        <v>0.35818181818181816</v>
      </c>
      <c r="V56" s="156">
        <f t="shared" si="14"/>
        <v>7.9825745454545453E-3</v>
      </c>
      <c r="W56" s="152">
        <f t="shared" si="15"/>
        <v>110.8690909090909</v>
      </c>
      <c r="X56" s="158">
        <v>2</v>
      </c>
      <c r="Y56" s="158">
        <v>2</v>
      </c>
      <c r="Z56" s="151">
        <f t="shared" si="16"/>
        <v>88.713325942350338</v>
      </c>
      <c r="AA56" s="154">
        <f t="shared" si="17"/>
        <v>2.4444444444444446E-2</v>
      </c>
    </row>
    <row r="57" spans="1:27" x14ac:dyDescent="0.25">
      <c r="A57" s="18">
        <v>49</v>
      </c>
      <c r="B57" s="89">
        <v>1</v>
      </c>
      <c r="C57" s="89">
        <v>1</v>
      </c>
      <c r="D57" s="20" t="str">
        <f>IF((MAX(B57:C57)/MIN(B57:C57))&gt;2,"1D","2D")</f>
        <v>2D</v>
      </c>
      <c r="E57" s="86" t="str">
        <f t="shared" si="1"/>
        <v>N.A.</v>
      </c>
      <c r="F57" s="20">
        <f>IF(D57="1D",MIN(B57:C57),MAX(B57:C57))</f>
        <v>1</v>
      </c>
      <c r="G57" s="22">
        <f>MAX(B57:C57)/MIN(B57:C57)</f>
        <v>1</v>
      </c>
      <c r="H57" s="20">
        <f>IF(D57="2d",(F57*(0.8+($D$6/14000)))/(36+9*G57),F57/E57)</f>
        <v>2.4444444444444446E-2</v>
      </c>
      <c r="I57" s="19" t="s">
        <v>52</v>
      </c>
      <c r="J57" s="79">
        <f t="shared" si="5"/>
        <v>0.12</v>
      </c>
      <c r="L57" s="158">
        <v>0.3</v>
      </c>
      <c r="M57" s="158">
        <v>0.6</v>
      </c>
      <c r="N57" s="156">
        <f t="shared" si="6"/>
        <v>1.44E-4</v>
      </c>
      <c r="O57" s="151">
        <f t="shared" si="7"/>
        <v>1.26</v>
      </c>
      <c r="P57" s="151">
        <f t="shared" si="8"/>
        <v>0.39365853658536587</v>
      </c>
      <c r="Q57" s="156">
        <f t="shared" si="9"/>
        <v>9.5842887804878062E-3</v>
      </c>
      <c r="R57" s="152">
        <f t="shared" si="10"/>
        <v>66.557560975609761</v>
      </c>
      <c r="S57" s="156">
        <f t="shared" si="11"/>
        <v>7.2000000000000002E-5</v>
      </c>
      <c r="T57" s="155">
        <f t="shared" si="12"/>
        <v>0.78</v>
      </c>
      <c r="U57" s="154">
        <f t="shared" si="13"/>
        <v>0.35818181818181816</v>
      </c>
      <c r="V57" s="156">
        <f t="shared" si="14"/>
        <v>7.9825745454545453E-3</v>
      </c>
      <c r="W57" s="152">
        <f t="shared" si="15"/>
        <v>110.8690909090909</v>
      </c>
      <c r="X57" s="158">
        <v>2</v>
      </c>
      <c r="Y57" s="158">
        <v>2</v>
      </c>
      <c r="Z57" s="151">
        <f t="shared" si="16"/>
        <v>88.713325942350338</v>
      </c>
      <c r="AA57" s="154">
        <f t="shared" si="17"/>
        <v>2.4444444444444446E-2</v>
      </c>
    </row>
    <row r="58" spans="1:27" x14ac:dyDescent="0.25">
      <c r="A58" s="18">
        <v>50</v>
      </c>
      <c r="B58" s="89">
        <v>1</v>
      </c>
      <c r="C58" s="89">
        <v>1</v>
      </c>
      <c r="D58" s="20" t="str">
        <f t="shared" si="0"/>
        <v>2D</v>
      </c>
      <c r="E58" s="86" t="str">
        <f t="shared" si="1"/>
        <v>N.A.</v>
      </c>
      <c r="F58" s="20">
        <f t="shared" si="2"/>
        <v>1</v>
      </c>
      <c r="G58" s="22">
        <f t="shared" si="3"/>
        <v>1</v>
      </c>
      <c r="H58" s="20">
        <f t="shared" si="4"/>
        <v>2.4444444444444446E-2</v>
      </c>
      <c r="I58" s="19" t="s">
        <v>52</v>
      </c>
      <c r="J58" s="79">
        <f t="shared" si="5"/>
        <v>0.12</v>
      </c>
      <c r="L58" s="158">
        <v>0.3</v>
      </c>
      <c r="M58" s="158">
        <v>0.6</v>
      </c>
      <c r="N58" s="156">
        <f t="shared" si="6"/>
        <v>1.44E-4</v>
      </c>
      <c r="O58" s="151">
        <f t="shared" si="7"/>
        <v>1.26</v>
      </c>
      <c r="P58" s="151">
        <f t="shared" si="8"/>
        <v>0.39365853658536587</v>
      </c>
      <c r="Q58" s="156">
        <f t="shared" si="9"/>
        <v>9.5842887804878062E-3</v>
      </c>
      <c r="R58" s="152">
        <f t="shared" si="10"/>
        <v>66.557560975609761</v>
      </c>
      <c r="S58" s="156">
        <f t="shared" si="11"/>
        <v>7.2000000000000002E-5</v>
      </c>
      <c r="T58" s="155">
        <f t="shared" si="12"/>
        <v>0.78</v>
      </c>
      <c r="U58" s="154">
        <f t="shared" si="13"/>
        <v>0.35818181818181816</v>
      </c>
      <c r="V58" s="156">
        <f t="shared" si="14"/>
        <v>7.9825745454545453E-3</v>
      </c>
      <c r="W58" s="152">
        <f t="shared" si="15"/>
        <v>110.8690909090909</v>
      </c>
      <c r="X58" s="158">
        <v>2</v>
      </c>
      <c r="Y58" s="158">
        <v>2</v>
      </c>
      <c r="Z58" s="151">
        <f t="shared" si="16"/>
        <v>88.713325942350338</v>
      </c>
      <c r="AA58" s="154">
        <f t="shared" si="17"/>
        <v>2.4444444444444446E-2</v>
      </c>
    </row>
  </sheetData>
  <mergeCells count="10">
    <mergeCell ref="N7:R7"/>
    <mergeCell ref="S7:W7"/>
    <mergeCell ref="H8:J8"/>
    <mergeCell ref="B2:D2"/>
    <mergeCell ref="E2:F2"/>
    <mergeCell ref="G2:I2"/>
    <mergeCell ref="E3:F3"/>
    <mergeCell ref="G3:I3"/>
    <mergeCell ref="J3:J4"/>
    <mergeCell ref="F4:I4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EEBD-2CBC-48CD-98F4-F17588CC504A}">
  <sheetPr codeName="Hoja5"/>
  <dimension ref="A1:AB282"/>
  <sheetViews>
    <sheetView tabSelected="1" topLeftCell="A272" zoomScale="115" zoomScaleNormal="115" workbookViewId="0">
      <selection activeCell="D282" sqref="D282"/>
    </sheetView>
  </sheetViews>
  <sheetFormatPr defaultColWidth="11.42578125" defaultRowHeight="12.75" x14ac:dyDescent="0.2"/>
  <cols>
    <col min="1" max="1" width="8" style="3" bestFit="1" customWidth="1"/>
    <col min="2" max="2" width="7.7109375" style="3" customWidth="1"/>
    <col min="3" max="3" width="7" style="3" bestFit="1" customWidth="1"/>
    <col min="4" max="5" width="7.5703125" style="3" bestFit="1" customWidth="1"/>
    <col min="6" max="6" width="7.140625" style="3" bestFit="1" customWidth="1"/>
    <col min="7" max="7" width="12.85546875" style="3" bestFit="1" customWidth="1"/>
    <col min="8" max="8" width="7" style="3" bestFit="1" customWidth="1"/>
    <col min="9" max="9" width="8.7109375" style="3" bestFit="1" customWidth="1"/>
    <col min="10" max="10" width="6.85546875" style="3" bestFit="1" customWidth="1"/>
    <col min="11" max="11" width="9.7109375" style="3" bestFit="1" customWidth="1"/>
    <col min="12" max="12" width="7.42578125" style="3" bestFit="1" customWidth="1"/>
    <col min="13" max="14" width="8.42578125" style="3" bestFit="1" customWidth="1"/>
    <col min="15" max="15" width="8.7109375" style="3" bestFit="1" customWidth="1"/>
    <col min="16" max="17" width="7.7109375" style="3" bestFit="1" customWidth="1"/>
    <col min="18" max="19" width="11.42578125" style="3" bestFit="1" customWidth="1"/>
    <col min="20" max="23" width="12.28515625" style="3" bestFit="1" customWidth="1"/>
    <col min="24" max="24" width="7.42578125" style="3" bestFit="1" customWidth="1"/>
    <col min="25" max="25" width="6.42578125" style="3" bestFit="1" customWidth="1"/>
    <col min="26" max="26" width="6.7109375" style="3" bestFit="1" customWidth="1"/>
    <col min="27" max="27" width="5.7109375" style="3" bestFit="1" customWidth="1"/>
    <col min="28" max="28" width="7.7109375" style="3" bestFit="1" customWidth="1"/>
    <col min="29" max="16384" width="11.42578125" style="3"/>
  </cols>
  <sheetData>
    <row r="1" spans="1:28" x14ac:dyDescent="0.2">
      <c r="K1" s="180" t="s">
        <v>126</v>
      </c>
      <c r="L1" s="180"/>
      <c r="M1" s="180" t="s">
        <v>130</v>
      </c>
      <c r="N1" s="180"/>
    </row>
    <row r="2" spans="1:28" x14ac:dyDescent="0.2">
      <c r="K2" s="180"/>
      <c r="L2" s="180"/>
      <c r="M2" s="180"/>
      <c r="N2" s="180"/>
    </row>
    <row r="3" spans="1:28" x14ac:dyDescent="0.2">
      <c r="K3" s="104" t="s">
        <v>131</v>
      </c>
      <c r="L3" s="104">
        <v>0.15</v>
      </c>
      <c r="M3" s="104" t="s">
        <v>131</v>
      </c>
      <c r="N3" s="104">
        <v>0.15</v>
      </c>
    </row>
    <row r="4" spans="1:28" x14ac:dyDescent="0.2">
      <c r="K4" s="104" t="s">
        <v>128</v>
      </c>
      <c r="L4" s="104">
        <v>0.5</v>
      </c>
      <c r="M4" s="104" t="s">
        <v>128</v>
      </c>
      <c r="N4" s="104">
        <v>0.5</v>
      </c>
    </row>
    <row r="5" spans="1:28" x14ac:dyDescent="0.2">
      <c r="A5" s="25" t="s">
        <v>67</v>
      </c>
      <c r="B5" s="26"/>
      <c r="C5" s="26"/>
      <c r="D5" s="26"/>
      <c r="E5" s="26"/>
      <c r="F5" s="26"/>
      <c r="G5" s="26"/>
      <c r="H5" s="26"/>
      <c r="I5" s="26"/>
      <c r="K5" s="104" t="s">
        <v>129</v>
      </c>
      <c r="L5" s="104">
        <v>0.5</v>
      </c>
      <c r="M5" s="104" t="s">
        <v>129</v>
      </c>
      <c r="N5" s="104">
        <v>0.5</v>
      </c>
    </row>
    <row r="6" spans="1:28" ht="13.5" x14ac:dyDescent="0.25">
      <c r="K6" s="104" t="s">
        <v>127</v>
      </c>
      <c r="L6" s="104">
        <v>0.15</v>
      </c>
      <c r="M6" s="104" t="s">
        <v>127</v>
      </c>
      <c r="N6" s="104">
        <v>0.15</v>
      </c>
      <c r="S6" s="27" t="s">
        <v>68</v>
      </c>
      <c r="T6" s="26"/>
    </row>
    <row r="7" spans="1:28" ht="13.5" x14ac:dyDescent="0.25">
      <c r="B7" s="18" t="s">
        <v>69</v>
      </c>
      <c r="S7" s="4" t="s">
        <v>70</v>
      </c>
      <c r="T7" s="28">
        <v>30</v>
      </c>
    </row>
    <row r="8" spans="1:28" ht="13.5" x14ac:dyDescent="0.25">
      <c r="B8" s="4" t="s">
        <v>42</v>
      </c>
      <c r="C8" s="5">
        <v>4200</v>
      </c>
      <c r="D8" s="3" t="s">
        <v>71</v>
      </c>
      <c r="S8" s="4" t="s">
        <v>72</v>
      </c>
      <c r="T8" s="28">
        <v>70</v>
      </c>
    </row>
    <row r="10" spans="1:28" ht="18" x14ac:dyDescent="0.25">
      <c r="A10" s="29" t="s">
        <v>44</v>
      </c>
      <c r="B10" s="29" t="s">
        <v>45</v>
      </c>
      <c r="C10" s="29" t="s">
        <v>46</v>
      </c>
      <c r="D10" s="29" t="s">
        <v>47</v>
      </c>
      <c r="E10" s="29" t="s">
        <v>48</v>
      </c>
      <c r="F10" s="29" t="s">
        <v>49</v>
      </c>
      <c r="G10" s="30" t="s">
        <v>50</v>
      </c>
      <c r="H10" s="29" t="s">
        <v>51</v>
      </c>
      <c r="K10" s="3" t="s">
        <v>73</v>
      </c>
      <c r="L10" s="3" t="s">
        <v>121</v>
      </c>
      <c r="M10" s="29" t="s">
        <v>74</v>
      </c>
      <c r="N10" s="29" t="s">
        <v>75</v>
      </c>
      <c r="O10" s="29" t="s">
        <v>76</v>
      </c>
      <c r="P10" s="29" t="s">
        <v>77</v>
      </c>
      <c r="Q10" s="29" t="s">
        <v>78</v>
      </c>
      <c r="R10" s="29" t="s">
        <v>79</v>
      </c>
      <c r="S10" s="29" t="s">
        <v>80</v>
      </c>
      <c r="T10" s="29" t="s">
        <v>81</v>
      </c>
      <c r="U10" s="29" t="s">
        <v>82</v>
      </c>
      <c r="V10" s="29" t="s">
        <v>83</v>
      </c>
      <c r="W10" s="29" t="s">
        <v>84</v>
      </c>
      <c r="X10" s="31" t="s">
        <v>85</v>
      </c>
      <c r="Y10" s="31" t="s">
        <v>86</v>
      </c>
      <c r="Z10" s="31" t="s">
        <v>87</v>
      </c>
      <c r="AB10" s="29" t="s">
        <v>88</v>
      </c>
    </row>
    <row r="11" spans="1:28" x14ac:dyDescent="0.2">
      <c r="A11" s="165" t="str">
        <f ca="1">REPT('Espesor Earlette'!AC2,65)</f>
        <v xml:space="preserve">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</row>
    <row r="12" spans="1:28" ht="13.5" x14ac:dyDescent="0.25">
      <c r="A12" s="160">
        <v>6</v>
      </c>
      <c r="B12" s="72">
        <f>VLOOKUP($A12,'Espesor Earlette'!$A$9:$J$58,2,FALSE)</f>
        <v>7.95</v>
      </c>
      <c r="C12" s="72">
        <f>VLOOKUP($A12,'Espesor Earlette'!$A$9:$J$58,3,FALSE)</f>
        <v>7</v>
      </c>
      <c r="D12" s="32" t="str">
        <f>VLOOKUP($A12,'Espesor Earlette'!$A$9:$J$58,4,FALSE)</f>
        <v>2D</v>
      </c>
      <c r="E12" s="32" t="str">
        <f>VLOOKUP($A12,'Espesor Earlette'!$A$9:$J$58,5,FALSE)</f>
        <v>N.A.</v>
      </c>
      <c r="F12" s="32">
        <f>VLOOKUP($A12,'Espesor Earlette'!$A$9:$J$58,6,FALSE)</f>
        <v>7.95</v>
      </c>
      <c r="G12" s="32">
        <f>VLOOKUP($A12,'Espesor Earlette'!$A$9:$J$58,7,FALSE)</f>
        <v>1.1357142857142857</v>
      </c>
      <c r="H12" s="32">
        <f>IF(D12="2D",(F12*(0.8+($C$8/14000)))/(36+9*G12),F12/E12)</f>
        <v>0.18919796012980994</v>
      </c>
      <c r="I12" s="4" t="s">
        <v>52</v>
      </c>
      <c r="J12" s="33">
        <f>MAX(0.12,H12)</f>
        <v>0.18919796012980994</v>
      </c>
      <c r="K12" s="34">
        <f>VLOOKUP($A12,'Espesor Earlette'!$A$9:$J$58,10,FALSE)</f>
        <v>0.2</v>
      </c>
      <c r="L12" s="34">
        <v>0.05</v>
      </c>
      <c r="M12" s="33">
        <f>IF(D12="2D",IF(B12&lt;C12,INT(B12/($N$3+$N$5)),INT(B12/($N$3+$N$4))),IF(B12&gt;C12,INT(B12/($L$3+$L$4)),INT(B12/$L$5)))</f>
        <v>12</v>
      </c>
      <c r="N12" s="33">
        <f>IF(D12="2D",IF(C12&lt;B12,INT(C12/($N$3+$N$5)),INT(C12/($N$3+$N$4))),IF(C12&gt;B12,INT(C12/($L$3+$L$4)),INT(C12/$L$5)))</f>
        <v>10</v>
      </c>
      <c r="O12" s="33">
        <f>M12*N12</f>
        <v>120</v>
      </c>
      <c r="P12" s="33">
        <f>O12*(IF(D12="1D",($L$4*$L$5),($N$4*$N$5)))*(K12-L12)</f>
        <v>4.5000000000000009</v>
      </c>
      <c r="Q12" s="33">
        <f>K12*B12*C12</f>
        <v>11.13</v>
      </c>
      <c r="R12" s="33">
        <f>Q12-P12</f>
        <v>6.63</v>
      </c>
      <c r="S12" s="35">
        <f>R12/(B12*C12)</f>
        <v>0.11913746630727763</v>
      </c>
      <c r="T12" s="36">
        <f>$T$7*$T$8*$T$8*$T$8/12</f>
        <v>857500</v>
      </c>
      <c r="U12" s="36">
        <f>T12</f>
        <v>857500</v>
      </c>
      <c r="V12" s="33">
        <f>(C12*100/2)*(J12*J12*J12*1000000)/12</f>
        <v>197531.40250857107</v>
      </c>
      <c r="W12" s="33">
        <f>(B12*100/2)*(J12*J12*J12*1000000)/12</f>
        <v>224339.23570616287</v>
      </c>
      <c r="X12" s="50">
        <f>T12/V12</f>
        <v>4.3410819196851103</v>
      </c>
      <c r="Y12" s="50">
        <f>U12/W12</f>
        <v>3.8223362814837452</v>
      </c>
      <c r="Z12" s="36">
        <f>(X12*2+Y12*2)/4</f>
        <v>4.0817091005844279</v>
      </c>
      <c r="AA12" s="15" t="str">
        <f>IF(Z12&gt;2,"OK","CHK")</f>
        <v>OK</v>
      </c>
      <c r="AB12" s="33">
        <f>(F12*(0.8+($C$9/14000)))/(36+5*G12*(0.2-0.12))</f>
        <v>0.17446508347049142</v>
      </c>
    </row>
    <row r="13" spans="1:28" ht="13.5" x14ac:dyDescent="0.25">
      <c r="A13" s="160">
        <v>7</v>
      </c>
      <c r="B13" s="72">
        <f>VLOOKUP($A13,'Espesor Earlette'!$A$9:$J$58,2,FALSE)</f>
        <v>5.55</v>
      </c>
      <c r="C13" s="72">
        <f>VLOOKUP($A13,'Espesor Earlette'!$A$9:$J$58,3,FALSE)</f>
        <v>7</v>
      </c>
      <c r="D13" s="32" t="str">
        <f>VLOOKUP($A13,'Espesor Earlette'!$A$9:$J$58,4,FALSE)</f>
        <v>2D</v>
      </c>
      <c r="E13" s="32" t="str">
        <f>VLOOKUP($A13,'Espesor Earlette'!$A$9:$J$58,5,FALSE)</f>
        <v>N.A.</v>
      </c>
      <c r="F13" s="32">
        <f>VLOOKUP($A13,'Espesor Earlette'!$A$9:$J$58,6,FALSE)</f>
        <v>7</v>
      </c>
      <c r="G13" s="32">
        <f>VLOOKUP($A13,'Espesor Earlette'!$A$9:$J$58,7,FALSE)</f>
        <v>1.2612612612612613</v>
      </c>
      <c r="H13" s="32">
        <f t="shared" ref="H13:H31" si="0">IF(D13="2D",(F13*(0.8+($C$8/14000)))/(36+9*G13),F13/E13)</f>
        <v>0.16261415525114156</v>
      </c>
      <c r="I13" s="4" t="s">
        <v>52</v>
      </c>
      <c r="J13" s="33">
        <f t="shared" ref="J13:J31" si="1">MAX(0.12,H13)</f>
        <v>0.16261415525114156</v>
      </c>
      <c r="K13" s="34">
        <f>VLOOKUP($A13,'Espesor Earlette'!$A$9:$J$58,10,FALSE)</f>
        <v>0.16</v>
      </c>
      <c r="L13" s="34">
        <v>0.05</v>
      </c>
      <c r="M13" s="33">
        <f t="shared" ref="M13:M31" si="2">IF(D13="2D",IF(B13&lt;C13,INT(B13/($N$3+$N$5)),INT(B13/($N$3+$N$4))),IF(B13&gt;C13,INT(B13/($L$3+$L$4)),INT(B13/$L$5)))</f>
        <v>8</v>
      </c>
      <c r="N13" s="33">
        <f t="shared" ref="N13:N31" si="3">IF(D13="2D",IF(C13&lt;B13,INT(C13/($N$3+$N$5)),INT(C13/($N$3+$N$4))),IF(C13&gt;B13,INT(C13/($L$3+$L$4)),INT(C13/$L$5)))</f>
        <v>10</v>
      </c>
      <c r="O13" s="33">
        <f t="shared" ref="O13:O31" si="4">M13*N13</f>
        <v>80</v>
      </c>
      <c r="P13" s="33">
        <f t="shared" ref="P13:P31" si="5">O13*(IF(D13="1D",($L$4*$L$5),($N$4*$N$5)))*(K13-L13)</f>
        <v>2.2000000000000002</v>
      </c>
      <c r="Q13" s="33">
        <f t="shared" ref="Q13:Q31" si="6">K13*B13*C13</f>
        <v>6.2160000000000002</v>
      </c>
      <c r="R13" s="33">
        <f t="shared" ref="R13:R31" si="7">Q13-P13</f>
        <v>4.016</v>
      </c>
      <c r="S13" s="35">
        <f t="shared" ref="S13:S31" si="8">R13/(B13*C13)</f>
        <v>0.10337194337194337</v>
      </c>
      <c r="T13" s="36">
        <f t="shared" ref="T13:T31" si="9">$T$7*$T$8*$T$8*$T$8/12</f>
        <v>857500</v>
      </c>
      <c r="U13" s="36">
        <f t="shared" ref="U13:U31" si="10">T13</f>
        <v>857500</v>
      </c>
      <c r="V13" s="33">
        <f t="shared" ref="V13:V31" si="11">(C13*100/2)*(J13*J13*J13*1000000)/12</f>
        <v>125418.56878853432</v>
      </c>
      <c r="W13" s="33">
        <f t="shared" ref="W13:W31" si="12">(B13*100/2)*(J13*J13*J13*1000000)/12</f>
        <v>99439.008110909359</v>
      </c>
      <c r="X13" s="50">
        <f t="shared" ref="X13:X31" si="13">T13/V13</f>
        <v>6.8371056079089305</v>
      </c>
      <c r="Y13" s="50">
        <f t="shared" ref="Y13:Y31" si="14">U13/W13</f>
        <v>8.6233764424076593</v>
      </c>
      <c r="Z13" s="36">
        <f t="shared" ref="Z13:Z31" si="15">(X13*2+Y13*2)/4</f>
        <v>7.7302410251582945</v>
      </c>
      <c r="AA13" s="15" t="str">
        <f t="shared" ref="AA13:AA31" si="16">IF(Z13&gt;2,"OK","CHK")</f>
        <v>OK</v>
      </c>
      <c r="AB13" s="33">
        <f t="shared" ref="AB13:AB31" si="17">(F13*(0.8+($C$9/14000)))/(36+5*G13*(0.2-0.12))</f>
        <v>0.15340572556762094</v>
      </c>
    </row>
    <row r="14" spans="1:28" ht="13.5" x14ac:dyDescent="0.25">
      <c r="A14" s="160" t="str">
        <f t="array" ref="A14">IFERROR(INDEX('Espesor Earlette'!A11:A60, SMALL(IF('Espesor Earlette'!J11:J60&gt;=0.2, ROW('Espesor Earlette'!J11:J60)-ROW('Espesor Earlette'!J11)+1), ROWS($A$1:A3))), "")</f>
        <v/>
      </c>
      <c r="B14" s="72" t="e">
        <f>VLOOKUP($A14,'Espesor Earlette'!$A$9:$J$58,2,FALSE)</f>
        <v>#N/A</v>
      </c>
      <c r="C14" s="72" t="e">
        <f>VLOOKUP($A14,'Espesor Earlette'!$A$9:$J$58,3,FALSE)</f>
        <v>#N/A</v>
      </c>
      <c r="D14" s="32" t="e">
        <f>VLOOKUP($A14,'Espesor Earlette'!$A$9:$J$58,4,FALSE)</f>
        <v>#N/A</v>
      </c>
      <c r="E14" s="32" t="e">
        <f>VLOOKUP($A14,'Espesor Earlette'!$A$9:$J$58,5,FALSE)</f>
        <v>#N/A</v>
      </c>
      <c r="F14" s="32" t="e">
        <f>VLOOKUP($A14,'Espesor Earlette'!$A$9:$J$58,6,FALSE)</f>
        <v>#N/A</v>
      </c>
      <c r="G14" s="32" t="e">
        <f>VLOOKUP($A14,'Espesor Earlette'!$A$9:$J$58,7,FALSE)</f>
        <v>#N/A</v>
      </c>
      <c r="H14" s="32" t="e">
        <f t="shared" si="0"/>
        <v>#N/A</v>
      </c>
      <c r="I14" s="4" t="s">
        <v>52</v>
      </c>
      <c r="J14" s="33" t="e">
        <f t="shared" si="1"/>
        <v>#N/A</v>
      </c>
      <c r="K14" s="34" t="e">
        <f>VLOOKUP($A14,'Espesor Earlette'!$A$9:$J$58,10,FALSE)</f>
        <v>#N/A</v>
      </c>
      <c r="L14" s="34">
        <v>0.05</v>
      </c>
      <c r="M14" s="33" t="e">
        <f t="shared" si="2"/>
        <v>#N/A</v>
      </c>
      <c r="N14" s="33" t="e">
        <f t="shared" si="3"/>
        <v>#N/A</v>
      </c>
      <c r="O14" s="33" t="e">
        <f t="shared" si="4"/>
        <v>#N/A</v>
      </c>
      <c r="P14" s="33" t="e">
        <f t="shared" si="5"/>
        <v>#N/A</v>
      </c>
      <c r="Q14" s="33" t="e">
        <f t="shared" si="6"/>
        <v>#N/A</v>
      </c>
      <c r="R14" s="33" t="e">
        <f t="shared" si="7"/>
        <v>#N/A</v>
      </c>
      <c r="S14" s="35" t="e">
        <f t="shared" si="8"/>
        <v>#N/A</v>
      </c>
      <c r="T14" s="36">
        <f t="shared" si="9"/>
        <v>857500</v>
      </c>
      <c r="U14" s="36">
        <f t="shared" si="10"/>
        <v>857500</v>
      </c>
      <c r="V14" s="33" t="e">
        <f t="shared" si="11"/>
        <v>#N/A</v>
      </c>
      <c r="W14" s="33" t="e">
        <f t="shared" si="12"/>
        <v>#N/A</v>
      </c>
      <c r="X14" s="50" t="e">
        <f t="shared" si="13"/>
        <v>#N/A</v>
      </c>
      <c r="Y14" s="50" t="e">
        <f t="shared" si="14"/>
        <v>#N/A</v>
      </c>
      <c r="Z14" s="36" t="e">
        <f t="shared" si="15"/>
        <v>#N/A</v>
      </c>
      <c r="AA14" s="15" t="e">
        <f t="shared" si="16"/>
        <v>#N/A</v>
      </c>
      <c r="AB14" s="33" t="e">
        <f t="shared" si="17"/>
        <v>#N/A</v>
      </c>
    </row>
    <row r="15" spans="1:28" ht="13.5" x14ac:dyDescent="0.25">
      <c r="A15" s="160" t="str">
        <f t="array" ref="A15">IFERROR(INDEX('Espesor Earlette'!A12:A61, SMALL(IF('Espesor Earlette'!J12:J61&gt;=0.2, ROW('Espesor Earlette'!J12:J61)-ROW('Espesor Earlette'!J12)+1), ROWS($A$1:A4))), "")</f>
        <v/>
      </c>
      <c r="B15" s="72" t="e">
        <f>VLOOKUP($A15,'Espesor Earlette'!$A$9:$J$58,2,FALSE)</f>
        <v>#N/A</v>
      </c>
      <c r="C15" s="72" t="e">
        <f>VLOOKUP($A15,'Espesor Earlette'!$A$9:$J$58,3,FALSE)</f>
        <v>#N/A</v>
      </c>
      <c r="D15" s="32" t="e">
        <f>VLOOKUP($A15,'Espesor Earlette'!$A$9:$J$58,4,FALSE)</f>
        <v>#N/A</v>
      </c>
      <c r="E15" s="32" t="e">
        <f>VLOOKUP($A15,'Espesor Earlette'!$A$9:$J$58,5,FALSE)</f>
        <v>#N/A</v>
      </c>
      <c r="F15" s="32" t="e">
        <f>VLOOKUP($A15,'Espesor Earlette'!$A$9:$J$58,6,FALSE)</f>
        <v>#N/A</v>
      </c>
      <c r="G15" s="32" t="e">
        <f>VLOOKUP($A15,'Espesor Earlette'!$A$9:$J$58,7,FALSE)</f>
        <v>#N/A</v>
      </c>
      <c r="H15" s="32" t="e">
        <f t="shared" si="0"/>
        <v>#N/A</v>
      </c>
      <c r="I15" s="4" t="s">
        <v>52</v>
      </c>
      <c r="J15" s="33" t="e">
        <f t="shared" si="1"/>
        <v>#N/A</v>
      </c>
      <c r="K15" s="34" t="e">
        <f>VLOOKUP($A15,'Espesor Earlette'!$A$9:$J$58,10,FALSE)</f>
        <v>#N/A</v>
      </c>
      <c r="L15" s="34">
        <v>0.05</v>
      </c>
      <c r="M15" s="33" t="e">
        <f t="shared" si="2"/>
        <v>#N/A</v>
      </c>
      <c r="N15" s="33" t="e">
        <f t="shared" si="3"/>
        <v>#N/A</v>
      </c>
      <c r="O15" s="33" t="e">
        <f t="shared" si="4"/>
        <v>#N/A</v>
      </c>
      <c r="P15" s="33" t="e">
        <f t="shared" si="5"/>
        <v>#N/A</v>
      </c>
      <c r="Q15" s="33" t="e">
        <f t="shared" si="6"/>
        <v>#N/A</v>
      </c>
      <c r="R15" s="33" t="e">
        <f t="shared" si="7"/>
        <v>#N/A</v>
      </c>
      <c r="S15" s="35" t="e">
        <f t="shared" si="8"/>
        <v>#N/A</v>
      </c>
      <c r="T15" s="36">
        <f t="shared" si="9"/>
        <v>857500</v>
      </c>
      <c r="U15" s="36">
        <f t="shared" si="10"/>
        <v>857500</v>
      </c>
      <c r="V15" s="33" t="e">
        <f t="shared" si="11"/>
        <v>#N/A</v>
      </c>
      <c r="W15" s="33" t="e">
        <f t="shared" si="12"/>
        <v>#N/A</v>
      </c>
      <c r="X15" s="50" t="e">
        <f t="shared" si="13"/>
        <v>#N/A</v>
      </c>
      <c r="Y15" s="50" t="e">
        <f t="shared" si="14"/>
        <v>#N/A</v>
      </c>
      <c r="Z15" s="36" t="e">
        <f t="shared" si="15"/>
        <v>#N/A</v>
      </c>
      <c r="AA15" s="15" t="e">
        <f t="shared" si="16"/>
        <v>#N/A</v>
      </c>
      <c r="AB15" s="33" t="e">
        <f t="shared" si="17"/>
        <v>#N/A</v>
      </c>
    </row>
    <row r="16" spans="1:28" ht="13.5" x14ac:dyDescent="0.25">
      <c r="A16" s="160" t="str">
        <f t="array" ref="A16">IFERROR(INDEX('Espesor Earlette'!A13:A62, SMALL(IF('Espesor Earlette'!J13:J62&gt;=0.2, ROW('Espesor Earlette'!J13:J62)-ROW('Espesor Earlette'!J13)+1), ROWS($A$1:A5))), "")</f>
        <v/>
      </c>
      <c r="B16" s="72" t="e">
        <f>VLOOKUP($A16,'Espesor Earlette'!$A$9:$J$58,2,FALSE)</f>
        <v>#N/A</v>
      </c>
      <c r="C16" s="72" t="e">
        <f>VLOOKUP($A16,'Espesor Earlette'!$A$9:$J$58,3,FALSE)</f>
        <v>#N/A</v>
      </c>
      <c r="D16" s="32" t="e">
        <f>VLOOKUP($A16,'Espesor Earlette'!$A$9:$J$58,4,FALSE)</f>
        <v>#N/A</v>
      </c>
      <c r="E16" s="32" t="e">
        <f>VLOOKUP($A16,'Espesor Earlette'!$A$9:$J$58,5,FALSE)</f>
        <v>#N/A</v>
      </c>
      <c r="F16" s="32" t="e">
        <f>VLOOKUP($A16,'Espesor Earlette'!$A$9:$J$58,6,FALSE)</f>
        <v>#N/A</v>
      </c>
      <c r="G16" s="32" t="e">
        <f>VLOOKUP($A16,'Espesor Earlette'!$A$9:$J$58,7,FALSE)</f>
        <v>#N/A</v>
      </c>
      <c r="H16" s="32" t="e">
        <f t="shared" si="0"/>
        <v>#N/A</v>
      </c>
      <c r="I16" s="4" t="s">
        <v>52</v>
      </c>
      <c r="J16" s="33" t="e">
        <f t="shared" si="1"/>
        <v>#N/A</v>
      </c>
      <c r="K16" s="34" t="e">
        <f>VLOOKUP($A16,'Espesor Earlette'!$A$9:$J$58,10,FALSE)</f>
        <v>#N/A</v>
      </c>
      <c r="L16" s="34">
        <v>0.05</v>
      </c>
      <c r="M16" s="33" t="e">
        <f t="shared" si="2"/>
        <v>#N/A</v>
      </c>
      <c r="N16" s="33" t="e">
        <f t="shared" si="3"/>
        <v>#N/A</v>
      </c>
      <c r="O16" s="33" t="e">
        <f t="shared" si="4"/>
        <v>#N/A</v>
      </c>
      <c r="P16" s="33" t="e">
        <f t="shared" si="5"/>
        <v>#N/A</v>
      </c>
      <c r="Q16" s="33" t="e">
        <f t="shared" si="6"/>
        <v>#N/A</v>
      </c>
      <c r="R16" s="33" t="e">
        <f t="shared" si="7"/>
        <v>#N/A</v>
      </c>
      <c r="S16" s="35" t="e">
        <f t="shared" si="8"/>
        <v>#N/A</v>
      </c>
      <c r="T16" s="36">
        <f t="shared" si="9"/>
        <v>857500</v>
      </c>
      <c r="U16" s="36">
        <f t="shared" si="10"/>
        <v>857500</v>
      </c>
      <c r="V16" s="33" t="e">
        <f t="shared" si="11"/>
        <v>#N/A</v>
      </c>
      <c r="W16" s="33" t="e">
        <f t="shared" si="12"/>
        <v>#N/A</v>
      </c>
      <c r="X16" s="50" t="e">
        <f t="shared" si="13"/>
        <v>#N/A</v>
      </c>
      <c r="Y16" s="50" t="e">
        <f t="shared" si="14"/>
        <v>#N/A</v>
      </c>
      <c r="Z16" s="36" t="e">
        <f t="shared" si="15"/>
        <v>#N/A</v>
      </c>
      <c r="AA16" s="15" t="e">
        <f t="shared" si="16"/>
        <v>#N/A</v>
      </c>
      <c r="AB16" s="33" t="e">
        <f t="shared" si="17"/>
        <v>#N/A</v>
      </c>
    </row>
    <row r="17" spans="1:28" ht="13.5" x14ac:dyDescent="0.25">
      <c r="A17" s="160" t="str">
        <f t="array" ref="A17">IFERROR(INDEX('Espesor Earlette'!A14:A63, SMALL(IF('Espesor Earlette'!J14:J63&gt;=0.2, ROW('Espesor Earlette'!J14:J63)-ROW('Espesor Earlette'!J14)+1), ROWS($A$1:A6))), "")</f>
        <v/>
      </c>
      <c r="B17" s="72" t="e">
        <f>VLOOKUP($A17,'Espesor Earlette'!$A$9:$J$58,2,FALSE)</f>
        <v>#N/A</v>
      </c>
      <c r="C17" s="72" t="e">
        <f>VLOOKUP($A17,'Espesor Earlette'!$A$9:$J$58,3,FALSE)</f>
        <v>#N/A</v>
      </c>
      <c r="D17" s="32" t="e">
        <f>VLOOKUP($A17,'Espesor Earlette'!$A$9:$J$58,4,FALSE)</f>
        <v>#N/A</v>
      </c>
      <c r="E17" s="32" t="e">
        <f>VLOOKUP($A17,'Espesor Earlette'!$A$9:$J$58,5,FALSE)</f>
        <v>#N/A</v>
      </c>
      <c r="F17" s="32" t="e">
        <f>VLOOKUP($A17,'Espesor Earlette'!$A$9:$J$58,6,FALSE)</f>
        <v>#N/A</v>
      </c>
      <c r="G17" s="32" t="e">
        <f>VLOOKUP($A17,'Espesor Earlette'!$A$9:$J$58,7,FALSE)</f>
        <v>#N/A</v>
      </c>
      <c r="H17" s="32" t="e">
        <f t="shared" si="0"/>
        <v>#N/A</v>
      </c>
      <c r="I17" s="4" t="s">
        <v>52</v>
      </c>
      <c r="J17" s="33" t="e">
        <f t="shared" si="1"/>
        <v>#N/A</v>
      </c>
      <c r="K17" s="34" t="e">
        <f>VLOOKUP($A17,'Espesor Earlette'!$A$9:$J$58,10,FALSE)</f>
        <v>#N/A</v>
      </c>
      <c r="L17" s="34">
        <v>0.05</v>
      </c>
      <c r="M17" s="33" t="e">
        <f t="shared" si="2"/>
        <v>#N/A</v>
      </c>
      <c r="N17" s="33" t="e">
        <f t="shared" si="3"/>
        <v>#N/A</v>
      </c>
      <c r="O17" s="33" t="e">
        <f t="shared" si="4"/>
        <v>#N/A</v>
      </c>
      <c r="P17" s="33" t="e">
        <f t="shared" si="5"/>
        <v>#N/A</v>
      </c>
      <c r="Q17" s="33" t="e">
        <f t="shared" si="6"/>
        <v>#N/A</v>
      </c>
      <c r="R17" s="33" t="e">
        <f t="shared" si="7"/>
        <v>#N/A</v>
      </c>
      <c r="S17" s="35" t="e">
        <f t="shared" si="8"/>
        <v>#N/A</v>
      </c>
      <c r="T17" s="36">
        <f t="shared" si="9"/>
        <v>857500</v>
      </c>
      <c r="U17" s="36">
        <f t="shared" si="10"/>
        <v>857500</v>
      </c>
      <c r="V17" s="33" t="e">
        <f t="shared" si="11"/>
        <v>#N/A</v>
      </c>
      <c r="W17" s="33" t="e">
        <f t="shared" si="12"/>
        <v>#N/A</v>
      </c>
      <c r="X17" s="50" t="e">
        <f t="shared" si="13"/>
        <v>#N/A</v>
      </c>
      <c r="Y17" s="50" t="e">
        <f t="shared" si="14"/>
        <v>#N/A</v>
      </c>
      <c r="Z17" s="36" t="e">
        <f t="shared" si="15"/>
        <v>#N/A</v>
      </c>
      <c r="AA17" s="15" t="e">
        <f t="shared" si="16"/>
        <v>#N/A</v>
      </c>
      <c r="AB17" s="33" t="e">
        <f t="shared" si="17"/>
        <v>#N/A</v>
      </c>
    </row>
    <row r="18" spans="1:28" ht="13.5" x14ac:dyDescent="0.25">
      <c r="A18" s="160" t="str">
        <f t="array" ref="A18">IFERROR(INDEX('Espesor Earlette'!A15:A64, SMALL(IF('Espesor Earlette'!J15:J64&gt;=0.2, ROW('Espesor Earlette'!J15:J64)-ROW('Espesor Earlette'!J15)+1), ROWS($A$1:A7))), "")</f>
        <v/>
      </c>
      <c r="B18" s="72" t="e">
        <f>VLOOKUP($A18,'Espesor Earlette'!$A$9:$J$58,2,FALSE)</f>
        <v>#N/A</v>
      </c>
      <c r="C18" s="72" t="e">
        <f>VLOOKUP($A18,'Espesor Earlette'!$A$9:$J$58,3,FALSE)</f>
        <v>#N/A</v>
      </c>
      <c r="D18" s="32" t="e">
        <f>VLOOKUP($A18,'Espesor Earlette'!$A$9:$J$58,4,FALSE)</f>
        <v>#N/A</v>
      </c>
      <c r="E18" s="32" t="e">
        <f>VLOOKUP($A18,'Espesor Earlette'!$A$9:$J$58,5,FALSE)</f>
        <v>#N/A</v>
      </c>
      <c r="F18" s="32" t="e">
        <f>VLOOKUP($A18,'Espesor Earlette'!$A$9:$J$58,6,FALSE)</f>
        <v>#N/A</v>
      </c>
      <c r="G18" s="32" t="e">
        <f>VLOOKUP($A18,'Espesor Earlette'!$A$9:$J$58,7,FALSE)</f>
        <v>#N/A</v>
      </c>
      <c r="H18" s="32" t="e">
        <f t="shared" si="0"/>
        <v>#N/A</v>
      </c>
      <c r="I18" s="4" t="s">
        <v>52</v>
      </c>
      <c r="J18" s="33" t="e">
        <f t="shared" si="1"/>
        <v>#N/A</v>
      </c>
      <c r="K18" s="34" t="e">
        <f>VLOOKUP($A18,'Espesor Earlette'!$A$9:$J$58,10,FALSE)</f>
        <v>#N/A</v>
      </c>
      <c r="L18" s="34">
        <v>0.05</v>
      </c>
      <c r="M18" s="33" t="e">
        <f t="shared" si="2"/>
        <v>#N/A</v>
      </c>
      <c r="N18" s="33" t="e">
        <f t="shared" si="3"/>
        <v>#N/A</v>
      </c>
      <c r="O18" s="33" t="e">
        <f t="shared" si="4"/>
        <v>#N/A</v>
      </c>
      <c r="P18" s="33" t="e">
        <f t="shared" si="5"/>
        <v>#N/A</v>
      </c>
      <c r="Q18" s="33" t="e">
        <f t="shared" si="6"/>
        <v>#N/A</v>
      </c>
      <c r="R18" s="33" t="e">
        <f t="shared" si="7"/>
        <v>#N/A</v>
      </c>
      <c r="S18" s="35" t="e">
        <f t="shared" si="8"/>
        <v>#N/A</v>
      </c>
      <c r="T18" s="36">
        <f t="shared" si="9"/>
        <v>857500</v>
      </c>
      <c r="U18" s="36">
        <f t="shared" si="10"/>
        <v>857500</v>
      </c>
      <c r="V18" s="33" t="e">
        <f t="shared" si="11"/>
        <v>#N/A</v>
      </c>
      <c r="W18" s="33" t="e">
        <f t="shared" si="12"/>
        <v>#N/A</v>
      </c>
      <c r="X18" s="50" t="e">
        <f t="shared" si="13"/>
        <v>#N/A</v>
      </c>
      <c r="Y18" s="50" t="e">
        <f t="shared" si="14"/>
        <v>#N/A</v>
      </c>
      <c r="Z18" s="36" t="e">
        <f t="shared" si="15"/>
        <v>#N/A</v>
      </c>
      <c r="AA18" s="15" t="e">
        <f t="shared" si="16"/>
        <v>#N/A</v>
      </c>
      <c r="AB18" s="33" t="e">
        <f t="shared" si="17"/>
        <v>#N/A</v>
      </c>
    </row>
    <row r="19" spans="1:28" ht="13.5" x14ac:dyDescent="0.25">
      <c r="A19" s="160" t="str">
        <f t="array" ref="A19">IFERROR(INDEX('Espesor Earlette'!A16:A65, SMALL(IF('Espesor Earlette'!J16:J65&gt;=0.2, ROW('Espesor Earlette'!J16:J65)-ROW('Espesor Earlette'!J16)+1), ROWS($A$1:A8))), "")</f>
        <v/>
      </c>
      <c r="B19" s="72" t="e">
        <f>VLOOKUP($A19,'Espesor Earlette'!$A$9:$J$58,2,FALSE)</f>
        <v>#N/A</v>
      </c>
      <c r="C19" s="72" t="e">
        <f>VLOOKUP($A19,'Espesor Earlette'!$A$9:$J$58,3,FALSE)</f>
        <v>#N/A</v>
      </c>
      <c r="D19" s="32" t="e">
        <f>VLOOKUP($A19,'Espesor Earlette'!$A$9:$J$58,4,FALSE)</f>
        <v>#N/A</v>
      </c>
      <c r="E19" s="32" t="e">
        <f>VLOOKUP($A19,'Espesor Earlette'!$A$9:$J$58,5,FALSE)</f>
        <v>#N/A</v>
      </c>
      <c r="F19" s="32" t="e">
        <f>VLOOKUP($A19,'Espesor Earlette'!$A$9:$J$58,6,FALSE)</f>
        <v>#N/A</v>
      </c>
      <c r="G19" s="32" t="e">
        <f>VLOOKUP($A19,'Espesor Earlette'!$A$9:$J$58,7,FALSE)</f>
        <v>#N/A</v>
      </c>
      <c r="H19" s="32" t="e">
        <f t="shared" si="0"/>
        <v>#N/A</v>
      </c>
      <c r="I19" s="4" t="s">
        <v>52</v>
      </c>
      <c r="J19" s="33" t="e">
        <f t="shared" si="1"/>
        <v>#N/A</v>
      </c>
      <c r="K19" s="34" t="e">
        <f>VLOOKUP($A19,'Espesor Earlette'!$A$9:$J$58,10,FALSE)</f>
        <v>#N/A</v>
      </c>
      <c r="L19" s="34">
        <v>0.05</v>
      </c>
      <c r="M19" s="33" t="e">
        <f t="shared" si="2"/>
        <v>#N/A</v>
      </c>
      <c r="N19" s="33" t="e">
        <f t="shared" si="3"/>
        <v>#N/A</v>
      </c>
      <c r="O19" s="33" t="e">
        <f t="shared" si="4"/>
        <v>#N/A</v>
      </c>
      <c r="P19" s="33" t="e">
        <f t="shared" si="5"/>
        <v>#N/A</v>
      </c>
      <c r="Q19" s="33" t="e">
        <f t="shared" si="6"/>
        <v>#N/A</v>
      </c>
      <c r="R19" s="33" t="e">
        <f t="shared" si="7"/>
        <v>#N/A</v>
      </c>
      <c r="S19" s="35" t="e">
        <f t="shared" si="8"/>
        <v>#N/A</v>
      </c>
      <c r="T19" s="36">
        <f t="shared" si="9"/>
        <v>857500</v>
      </c>
      <c r="U19" s="36">
        <f t="shared" si="10"/>
        <v>857500</v>
      </c>
      <c r="V19" s="33" t="e">
        <f t="shared" si="11"/>
        <v>#N/A</v>
      </c>
      <c r="W19" s="33" t="e">
        <f t="shared" si="12"/>
        <v>#N/A</v>
      </c>
      <c r="X19" s="50" t="e">
        <f t="shared" si="13"/>
        <v>#N/A</v>
      </c>
      <c r="Y19" s="50" t="e">
        <f t="shared" si="14"/>
        <v>#N/A</v>
      </c>
      <c r="Z19" s="36" t="e">
        <f t="shared" si="15"/>
        <v>#N/A</v>
      </c>
      <c r="AA19" s="15" t="e">
        <f t="shared" si="16"/>
        <v>#N/A</v>
      </c>
      <c r="AB19" s="33" t="e">
        <f t="shared" si="17"/>
        <v>#N/A</v>
      </c>
    </row>
    <row r="20" spans="1:28" ht="13.5" x14ac:dyDescent="0.25">
      <c r="A20" s="160" t="str">
        <f t="array" ref="A20">IFERROR(INDEX('Espesor Earlette'!A17:A66, SMALL(IF('Espesor Earlette'!J17:J66&gt;=0.2, ROW('Espesor Earlette'!J17:J66)-ROW('Espesor Earlette'!J17)+1), ROWS($A$1:A9))), "")</f>
        <v/>
      </c>
      <c r="B20" s="72" t="e">
        <f>VLOOKUP($A20,'Espesor Earlette'!$A$9:$J$58,2,FALSE)</f>
        <v>#N/A</v>
      </c>
      <c r="C20" s="72" t="e">
        <f>VLOOKUP($A20,'Espesor Earlette'!$A$9:$J$58,3,FALSE)</f>
        <v>#N/A</v>
      </c>
      <c r="D20" s="32" t="e">
        <f>VLOOKUP($A20,'Espesor Earlette'!$A$9:$J$58,4,FALSE)</f>
        <v>#N/A</v>
      </c>
      <c r="E20" s="32" t="e">
        <f>VLOOKUP($A20,'Espesor Earlette'!$A$9:$J$58,5,FALSE)</f>
        <v>#N/A</v>
      </c>
      <c r="F20" s="32" t="e">
        <f>VLOOKUP($A20,'Espesor Earlette'!$A$9:$J$58,6,FALSE)</f>
        <v>#N/A</v>
      </c>
      <c r="G20" s="32" t="e">
        <f>VLOOKUP($A20,'Espesor Earlette'!$A$9:$J$58,7,FALSE)</f>
        <v>#N/A</v>
      </c>
      <c r="H20" s="32" t="e">
        <f t="shared" si="0"/>
        <v>#N/A</v>
      </c>
      <c r="I20" s="4" t="s">
        <v>52</v>
      </c>
      <c r="J20" s="33" t="e">
        <f t="shared" si="1"/>
        <v>#N/A</v>
      </c>
      <c r="K20" s="34" t="e">
        <f>VLOOKUP($A20,'Espesor Earlette'!$A$9:$J$58,10,FALSE)</f>
        <v>#N/A</v>
      </c>
      <c r="L20" s="34">
        <v>0.05</v>
      </c>
      <c r="M20" s="33" t="e">
        <f t="shared" si="2"/>
        <v>#N/A</v>
      </c>
      <c r="N20" s="33" t="e">
        <f t="shared" si="3"/>
        <v>#N/A</v>
      </c>
      <c r="O20" s="33" t="e">
        <f t="shared" si="4"/>
        <v>#N/A</v>
      </c>
      <c r="P20" s="33" t="e">
        <f t="shared" si="5"/>
        <v>#N/A</v>
      </c>
      <c r="Q20" s="33" t="e">
        <f t="shared" si="6"/>
        <v>#N/A</v>
      </c>
      <c r="R20" s="33" t="e">
        <f t="shared" si="7"/>
        <v>#N/A</v>
      </c>
      <c r="S20" s="35" t="e">
        <f t="shared" si="8"/>
        <v>#N/A</v>
      </c>
      <c r="T20" s="36">
        <f t="shared" si="9"/>
        <v>857500</v>
      </c>
      <c r="U20" s="36">
        <f t="shared" si="10"/>
        <v>857500</v>
      </c>
      <c r="V20" s="33" t="e">
        <f t="shared" si="11"/>
        <v>#N/A</v>
      </c>
      <c r="W20" s="33" t="e">
        <f t="shared" si="12"/>
        <v>#N/A</v>
      </c>
      <c r="X20" s="50" t="e">
        <f t="shared" si="13"/>
        <v>#N/A</v>
      </c>
      <c r="Y20" s="50" t="e">
        <f t="shared" si="14"/>
        <v>#N/A</v>
      </c>
      <c r="Z20" s="36" t="e">
        <f t="shared" si="15"/>
        <v>#N/A</v>
      </c>
      <c r="AA20" s="15" t="e">
        <f t="shared" si="16"/>
        <v>#N/A</v>
      </c>
      <c r="AB20" s="33" t="e">
        <f t="shared" si="17"/>
        <v>#N/A</v>
      </c>
    </row>
    <row r="21" spans="1:28" ht="13.5" x14ac:dyDescent="0.25">
      <c r="A21" s="160" t="str">
        <f t="array" ref="A21">IFERROR(INDEX('Espesor Earlette'!A18:A67, SMALL(IF('Espesor Earlette'!J18:J67&gt;=0.2, ROW('Espesor Earlette'!J18:J67)-ROW('Espesor Earlette'!J18)+1), ROWS($A$1:A10))), "")</f>
        <v/>
      </c>
      <c r="B21" s="72" t="e">
        <f>VLOOKUP($A21,'Espesor Earlette'!$A$9:$J$58,2,FALSE)</f>
        <v>#N/A</v>
      </c>
      <c r="C21" s="72" t="e">
        <f>VLOOKUP($A21,'Espesor Earlette'!$A$9:$J$58,3,FALSE)</f>
        <v>#N/A</v>
      </c>
      <c r="D21" s="32" t="e">
        <f>VLOOKUP($A21,'Espesor Earlette'!$A$9:$J$58,4,FALSE)</f>
        <v>#N/A</v>
      </c>
      <c r="E21" s="32" t="e">
        <f>VLOOKUP($A21,'Espesor Earlette'!$A$9:$J$58,5,FALSE)</f>
        <v>#N/A</v>
      </c>
      <c r="F21" s="32" t="e">
        <f>VLOOKUP($A21,'Espesor Earlette'!$A$9:$J$58,6,FALSE)</f>
        <v>#N/A</v>
      </c>
      <c r="G21" s="32" t="e">
        <f>VLOOKUP($A21,'Espesor Earlette'!$A$9:$J$58,7,FALSE)</f>
        <v>#N/A</v>
      </c>
      <c r="H21" s="32" t="e">
        <f t="shared" si="0"/>
        <v>#N/A</v>
      </c>
      <c r="I21" s="4" t="s">
        <v>52</v>
      </c>
      <c r="J21" s="33" t="e">
        <f t="shared" si="1"/>
        <v>#N/A</v>
      </c>
      <c r="K21" s="34" t="e">
        <f>VLOOKUP($A21,'Espesor Earlette'!$A$9:$J$58,10,FALSE)</f>
        <v>#N/A</v>
      </c>
      <c r="L21" s="34">
        <v>0.05</v>
      </c>
      <c r="M21" s="33" t="e">
        <f t="shared" si="2"/>
        <v>#N/A</v>
      </c>
      <c r="N21" s="33" t="e">
        <f t="shared" si="3"/>
        <v>#N/A</v>
      </c>
      <c r="O21" s="33" t="e">
        <f t="shared" si="4"/>
        <v>#N/A</v>
      </c>
      <c r="P21" s="33" t="e">
        <f t="shared" si="5"/>
        <v>#N/A</v>
      </c>
      <c r="Q21" s="33" t="e">
        <f t="shared" si="6"/>
        <v>#N/A</v>
      </c>
      <c r="R21" s="33" t="e">
        <f t="shared" si="7"/>
        <v>#N/A</v>
      </c>
      <c r="S21" s="35" t="e">
        <f t="shared" si="8"/>
        <v>#N/A</v>
      </c>
      <c r="T21" s="36">
        <f t="shared" si="9"/>
        <v>857500</v>
      </c>
      <c r="U21" s="36">
        <f t="shared" si="10"/>
        <v>857500</v>
      </c>
      <c r="V21" s="33" t="e">
        <f t="shared" si="11"/>
        <v>#N/A</v>
      </c>
      <c r="W21" s="33" t="e">
        <f t="shared" si="12"/>
        <v>#N/A</v>
      </c>
      <c r="X21" s="50" t="e">
        <f t="shared" si="13"/>
        <v>#N/A</v>
      </c>
      <c r="Y21" s="50" t="e">
        <f t="shared" si="14"/>
        <v>#N/A</v>
      </c>
      <c r="Z21" s="36" t="e">
        <f t="shared" si="15"/>
        <v>#N/A</v>
      </c>
      <c r="AA21" s="15" t="e">
        <f t="shared" si="16"/>
        <v>#N/A</v>
      </c>
      <c r="AB21" s="33" t="e">
        <f t="shared" si="17"/>
        <v>#N/A</v>
      </c>
    </row>
    <row r="22" spans="1:28" ht="13.5" x14ac:dyDescent="0.25">
      <c r="A22" s="160" t="str">
        <f t="array" ref="A22">IFERROR(INDEX('Espesor Earlette'!A19:A68, SMALL(IF('Espesor Earlette'!J19:J68&gt;=0.2, ROW('Espesor Earlette'!J19:J68)-ROW('Espesor Earlette'!J19)+1), ROWS($A$1:A11))), "")</f>
        <v/>
      </c>
      <c r="B22" s="72" t="e">
        <f>VLOOKUP($A22,'Espesor Earlette'!$A$9:$J$58,2,FALSE)</f>
        <v>#N/A</v>
      </c>
      <c r="C22" s="72" t="e">
        <f>VLOOKUP($A22,'Espesor Earlette'!$A$9:$J$58,3,FALSE)</f>
        <v>#N/A</v>
      </c>
      <c r="D22" s="32" t="e">
        <f>VLOOKUP($A22,'Espesor Earlette'!$A$9:$J$58,4,FALSE)</f>
        <v>#N/A</v>
      </c>
      <c r="E22" s="32" t="e">
        <f>VLOOKUP($A22,'Espesor Earlette'!$A$9:$J$58,5,FALSE)</f>
        <v>#N/A</v>
      </c>
      <c r="F22" s="32" t="e">
        <f>VLOOKUP($A22,'Espesor Earlette'!$A$9:$J$58,6,FALSE)</f>
        <v>#N/A</v>
      </c>
      <c r="G22" s="32" t="e">
        <f>VLOOKUP($A22,'Espesor Earlette'!$A$9:$J$58,7,FALSE)</f>
        <v>#N/A</v>
      </c>
      <c r="H22" s="32" t="e">
        <f t="shared" si="0"/>
        <v>#N/A</v>
      </c>
      <c r="I22" s="4" t="s">
        <v>52</v>
      </c>
      <c r="J22" s="33" t="e">
        <f t="shared" si="1"/>
        <v>#N/A</v>
      </c>
      <c r="K22" s="34" t="e">
        <f>VLOOKUP($A22,'Espesor Earlette'!$A$9:$J$58,10,FALSE)</f>
        <v>#N/A</v>
      </c>
      <c r="L22" s="34">
        <v>0.05</v>
      </c>
      <c r="M22" s="33" t="e">
        <f t="shared" si="2"/>
        <v>#N/A</v>
      </c>
      <c r="N22" s="33" t="e">
        <f t="shared" si="3"/>
        <v>#N/A</v>
      </c>
      <c r="O22" s="33" t="e">
        <f t="shared" si="4"/>
        <v>#N/A</v>
      </c>
      <c r="P22" s="33" t="e">
        <f t="shared" si="5"/>
        <v>#N/A</v>
      </c>
      <c r="Q22" s="33" t="e">
        <f t="shared" si="6"/>
        <v>#N/A</v>
      </c>
      <c r="R22" s="33" t="e">
        <f t="shared" si="7"/>
        <v>#N/A</v>
      </c>
      <c r="S22" s="35" t="e">
        <f t="shared" si="8"/>
        <v>#N/A</v>
      </c>
      <c r="T22" s="36">
        <f t="shared" si="9"/>
        <v>857500</v>
      </c>
      <c r="U22" s="36">
        <f t="shared" si="10"/>
        <v>857500</v>
      </c>
      <c r="V22" s="33" t="e">
        <f t="shared" si="11"/>
        <v>#N/A</v>
      </c>
      <c r="W22" s="33" t="e">
        <f t="shared" si="12"/>
        <v>#N/A</v>
      </c>
      <c r="X22" s="50" t="e">
        <f t="shared" si="13"/>
        <v>#N/A</v>
      </c>
      <c r="Y22" s="50" t="e">
        <f t="shared" si="14"/>
        <v>#N/A</v>
      </c>
      <c r="Z22" s="36" t="e">
        <f t="shared" si="15"/>
        <v>#N/A</v>
      </c>
      <c r="AA22" s="15" t="e">
        <f t="shared" si="16"/>
        <v>#N/A</v>
      </c>
      <c r="AB22" s="33" t="e">
        <f t="shared" si="17"/>
        <v>#N/A</v>
      </c>
    </row>
    <row r="23" spans="1:28" ht="13.5" x14ac:dyDescent="0.25">
      <c r="A23" s="160" t="str">
        <f t="array" ref="A23">IFERROR(INDEX('Espesor Earlette'!A20:A69, SMALL(IF('Espesor Earlette'!J20:J69&gt;=0.2, ROW('Espesor Earlette'!J20:J69)-ROW('Espesor Earlette'!J20)+1), ROWS($A$1:A12))), "")</f>
        <v/>
      </c>
      <c r="B23" s="72" t="e">
        <f>VLOOKUP($A23,'Espesor Earlette'!$A$9:$J$58,2,FALSE)</f>
        <v>#N/A</v>
      </c>
      <c r="C23" s="72" t="e">
        <f>VLOOKUP($A23,'Espesor Earlette'!$A$9:$J$58,3,FALSE)</f>
        <v>#N/A</v>
      </c>
      <c r="D23" s="32" t="e">
        <f>VLOOKUP($A23,'Espesor Earlette'!$A$9:$J$58,4,FALSE)</f>
        <v>#N/A</v>
      </c>
      <c r="E23" s="32" t="e">
        <f>VLOOKUP($A23,'Espesor Earlette'!$A$9:$J$58,5,FALSE)</f>
        <v>#N/A</v>
      </c>
      <c r="F23" s="32" t="e">
        <f>VLOOKUP($A23,'Espesor Earlette'!$A$9:$J$58,6,FALSE)</f>
        <v>#N/A</v>
      </c>
      <c r="G23" s="32" t="e">
        <f>VLOOKUP($A23,'Espesor Earlette'!$A$9:$J$58,7,FALSE)</f>
        <v>#N/A</v>
      </c>
      <c r="H23" s="32" t="e">
        <f t="shared" si="0"/>
        <v>#N/A</v>
      </c>
      <c r="I23" s="4" t="s">
        <v>52</v>
      </c>
      <c r="J23" s="33" t="e">
        <f t="shared" si="1"/>
        <v>#N/A</v>
      </c>
      <c r="K23" s="34" t="e">
        <f>VLOOKUP($A23,'Espesor Earlette'!$A$9:$J$58,10,FALSE)</f>
        <v>#N/A</v>
      </c>
      <c r="L23" s="34">
        <v>0.05</v>
      </c>
      <c r="M23" s="33" t="e">
        <f t="shared" si="2"/>
        <v>#N/A</v>
      </c>
      <c r="N23" s="33" t="e">
        <f t="shared" si="3"/>
        <v>#N/A</v>
      </c>
      <c r="O23" s="33" t="e">
        <f t="shared" si="4"/>
        <v>#N/A</v>
      </c>
      <c r="P23" s="33" t="e">
        <f t="shared" si="5"/>
        <v>#N/A</v>
      </c>
      <c r="Q23" s="33" t="e">
        <f t="shared" si="6"/>
        <v>#N/A</v>
      </c>
      <c r="R23" s="33" t="e">
        <f t="shared" si="7"/>
        <v>#N/A</v>
      </c>
      <c r="S23" s="35" t="e">
        <f t="shared" si="8"/>
        <v>#N/A</v>
      </c>
      <c r="T23" s="36">
        <f t="shared" si="9"/>
        <v>857500</v>
      </c>
      <c r="U23" s="36">
        <f t="shared" si="10"/>
        <v>857500</v>
      </c>
      <c r="V23" s="33" t="e">
        <f t="shared" si="11"/>
        <v>#N/A</v>
      </c>
      <c r="W23" s="33" t="e">
        <f t="shared" si="12"/>
        <v>#N/A</v>
      </c>
      <c r="X23" s="50" t="e">
        <f t="shared" si="13"/>
        <v>#N/A</v>
      </c>
      <c r="Y23" s="50" t="e">
        <f t="shared" si="14"/>
        <v>#N/A</v>
      </c>
      <c r="Z23" s="36" t="e">
        <f t="shared" si="15"/>
        <v>#N/A</v>
      </c>
      <c r="AA23" s="15" t="e">
        <f t="shared" si="16"/>
        <v>#N/A</v>
      </c>
      <c r="AB23" s="33" t="e">
        <f t="shared" si="17"/>
        <v>#N/A</v>
      </c>
    </row>
    <row r="24" spans="1:28" ht="13.5" x14ac:dyDescent="0.25">
      <c r="A24" s="160" t="str">
        <f t="array" ref="A24">IFERROR(INDEX('Espesor Earlette'!A21:A70, SMALL(IF('Espesor Earlette'!J21:J70&gt;=0.2, ROW('Espesor Earlette'!J21:J70)-ROW('Espesor Earlette'!J21)+1), ROWS($A$1:A13))), "")</f>
        <v/>
      </c>
      <c r="B24" s="72" t="e">
        <f>VLOOKUP($A24,'Espesor Earlette'!$A$9:$J$58,2,FALSE)</f>
        <v>#N/A</v>
      </c>
      <c r="C24" s="72" t="e">
        <f>VLOOKUP($A24,'Espesor Earlette'!$A$9:$J$58,3,FALSE)</f>
        <v>#N/A</v>
      </c>
      <c r="D24" s="32" t="e">
        <f>VLOOKUP($A24,'Espesor Earlette'!$A$9:$J$58,4,FALSE)</f>
        <v>#N/A</v>
      </c>
      <c r="E24" s="32" t="e">
        <f>VLOOKUP($A24,'Espesor Earlette'!$A$9:$J$58,5,FALSE)</f>
        <v>#N/A</v>
      </c>
      <c r="F24" s="32" t="e">
        <f>VLOOKUP($A24,'Espesor Earlette'!$A$9:$J$58,6,FALSE)</f>
        <v>#N/A</v>
      </c>
      <c r="G24" s="32" t="e">
        <f>VLOOKUP($A24,'Espesor Earlette'!$A$9:$J$58,7,FALSE)</f>
        <v>#N/A</v>
      </c>
      <c r="H24" s="32" t="e">
        <f t="shared" si="0"/>
        <v>#N/A</v>
      </c>
      <c r="I24" s="4" t="s">
        <v>52</v>
      </c>
      <c r="J24" s="33" t="e">
        <f t="shared" si="1"/>
        <v>#N/A</v>
      </c>
      <c r="K24" s="34" t="e">
        <f>VLOOKUP($A24,'Espesor Earlette'!$A$9:$J$58,10,FALSE)</f>
        <v>#N/A</v>
      </c>
      <c r="L24" s="34">
        <v>0.05</v>
      </c>
      <c r="M24" s="33" t="e">
        <f t="shared" si="2"/>
        <v>#N/A</v>
      </c>
      <c r="N24" s="33" t="e">
        <f t="shared" si="3"/>
        <v>#N/A</v>
      </c>
      <c r="O24" s="33" t="e">
        <f t="shared" si="4"/>
        <v>#N/A</v>
      </c>
      <c r="P24" s="33" t="e">
        <f t="shared" si="5"/>
        <v>#N/A</v>
      </c>
      <c r="Q24" s="33" t="e">
        <f t="shared" si="6"/>
        <v>#N/A</v>
      </c>
      <c r="R24" s="33" t="e">
        <f t="shared" si="7"/>
        <v>#N/A</v>
      </c>
      <c r="S24" s="35" t="e">
        <f t="shared" si="8"/>
        <v>#N/A</v>
      </c>
      <c r="T24" s="36">
        <f t="shared" si="9"/>
        <v>857500</v>
      </c>
      <c r="U24" s="36">
        <f t="shared" si="10"/>
        <v>857500</v>
      </c>
      <c r="V24" s="33" t="e">
        <f t="shared" si="11"/>
        <v>#N/A</v>
      </c>
      <c r="W24" s="33" t="e">
        <f t="shared" si="12"/>
        <v>#N/A</v>
      </c>
      <c r="X24" s="50" t="e">
        <f t="shared" si="13"/>
        <v>#N/A</v>
      </c>
      <c r="Y24" s="50" t="e">
        <f t="shared" si="14"/>
        <v>#N/A</v>
      </c>
      <c r="Z24" s="36" t="e">
        <f t="shared" si="15"/>
        <v>#N/A</v>
      </c>
      <c r="AA24" s="15" t="e">
        <f t="shared" si="16"/>
        <v>#N/A</v>
      </c>
      <c r="AB24" s="33" t="e">
        <f t="shared" si="17"/>
        <v>#N/A</v>
      </c>
    </row>
    <row r="25" spans="1:28" ht="13.5" x14ac:dyDescent="0.25">
      <c r="A25" s="160" t="str">
        <f t="array" ref="A25">IFERROR(INDEX('Espesor Earlette'!A22:A71, SMALL(IF('Espesor Earlette'!J22:J71&gt;=0.2, ROW('Espesor Earlette'!J22:J71)-ROW('Espesor Earlette'!J22)+1), ROWS($A$1:A14))), "")</f>
        <v/>
      </c>
      <c r="B25" s="72" t="e">
        <f>VLOOKUP($A25,'Espesor Earlette'!$A$9:$J$58,2,FALSE)</f>
        <v>#N/A</v>
      </c>
      <c r="C25" s="72" t="e">
        <f>VLOOKUP($A25,'Espesor Earlette'!$A$9:$J$58,3,FALSE)</f>
        <v>#N/A</v>
      </c>
      <c r="D25" s="32" t="e">
        <f>VLOOKUP($A25,'Espesor Earlette'!$A$9:$J$58,4,FALSE)</f>
        <v>#N/A</v>
      </c>
      <c r="E25" s="32" t="e">
        <f>VLOOKUP($A25,'Espesor Earlette'!$A$9:$J$58,5,FALSE)</f>
        <v>#N/A</v>
      </c>
      <c r="F25" s="32" t="e">
        <f>VLOOKUP($A25,'Espesor Earlette'!$A$9:$J$58,6,FALSE)</f>
        <v>#N/A</v>
      </c>
      <c r="G25" s="32" t="e">
        <f>VLOOKUP($A25,'Espesor Earlette'!$A$9:$J$58,7,FALSE)</f>
        <v>#N/A</v>
      </c>
      <c r="H25" s="32" t="e">
        <f t="shared" si="0"/>
        <v>#N/A</v>
      </c>
      <c r="I25" s="4" t="s">
        <v>52</v>
      </c>
      <c r="J25" s="33" t="e">
        <f t="shared" si="1"/>
        <v>#N/A</v>
      </c>
      <c r="K25" s="34" t="e">
        <f>VLOOKUP($A25,'Espesor Earlette'!$A$9:$J$58,10,FALSE)</f>
        <v>#N/A</v>
      </c>
      <c r="L25" s="34">
        <v>0.05</v>
      </c>
      <c r="M25" s="33" t="e">
        <f t="shared" si="2"/>
        <v>#N/A</v>
      </c>
      <c r="N25" s="33" t="e">
        <f t="shared" si="3"/>
        <v>#N/A</v>
      </c>
      <c r="O25" s="33" t="e">
        <f t="shared" si="4"/>
        <v>#N/A</v>
      </c>
      <c r="P25" s="33" t="e">
        <f t="shared" si="5"/>
        <v>#N/A</v>
      </c>
      <c r="Q25" s="33" t="e">
        <f t="shared" si="6"/>
        <v>#N/A</v>
      </c>
      <c r="R25" s="33" t="e">
        <f t="shared" si="7"/>
        <v>#N/A</v>
      </c>
      <c r="S25" s="35" t="e">
        <f t="shared" si="8"/>
        <v>#N/A</v>
      </c>
      <c r="T25" s="36">
        <f t="shared" si="9"/>
        <v>857500</v>
      </c>
      <c r="U25" s="36">
        <f t="shared" si="10"/>
        <v>857500</v>
      </c>
      <c r="V25" s="33" t="e">
        <f t="shared" si="11"/>
        <v>#N/A</v>
      </c>
      <c r="W25" s="33" t="e">
        <f t="shared" si="12"/>
        <v>#N/A</v>
      </c>
      <c r="X25" s="50" t="e">
        <f t="shared" si="13"/>
        <v>#N/A</v>
      </c>
      <c r="Y25" s="50" t="e">
        <f t="shared" si="14"/>
        <v>#N/A</v>
      </c>
      <c r="Z25" s="36" t="e">
        <f t="shared" si="15"/>
        <v>#N/A</v>
      </c>
      <c r="AA25" s="15" t="e">
        <f t="shared" si="16"/>
        <v>#N/A</v>
      </c>
      <c r="AB25" s="33" t="e">
        <f t="shared" si="17"/>
        <v>#N/A</v>
      </c>
    </row>
    <row r="26" spans="1:28" ht="13.5" x14ac:dyDescent="0.25">
      <c r="A26" s="160" t="str">
        <f t="array" ref="A26">IFERROR(INDEX('Espesor Earlette'!A23:A72, SMALL(IF('Espesor Earlette'!J23:J72&gt;=0.2, ROW('Espesor Earlette'!J23:J72)-ROW('Espesor Earlette'!J23)+1), ROWS($A$1:A15))), "")</f>
        <v/>
      </c>
      <c r="B26" s="72" t="e">
        <f>VLOOKUP($A26,'Espesor Earlette'!$A$9:$J$58,2,FALSE)</f>
        <v>#N/A</v>
      </c>
      <c r="C26" s="72" t="e">
        <f>VLOOKUP($A26,'Espesor Earlette'!$A$9:$J$58,3,FALSE)</f>
        <v>#N/A</v>
      </c>
      <c r="D26" s="32" t="e">
        <f>VLOOKUP($A26,'Espesor Earlette'!$A$9:$J$58,4,FALSE)</f>
        <v>#N/A</v>
      </c>
      <c r="E26" s="32" t="e">
        <f>VLOOKUP($A26,'Espesor Earlette'!$A$9:$J$58,5,FALSE)</f>
        <v>#N/A</v>
      </c>
      <c r="F26" s="32" t="e">
        <f>VLOOKUP($A26,'Espesor Earlette'!$A$9:$J$58,6,FALSE)</f>
        <v>#N/A</v>
      </c>
      <c r="G26" s="32" t="e">
        <f>VLOOKUP($A26,'Espesor Earlette'!$A$9:$J$58,7,FALSE)</f>
        <v>#N/A</v>
      </c>
      <c r="H26" s="32" t="e">
        <f t="shared" si="0"/>
        <v>#N/A</v>
      </c>
      <c r="I26" s="4" t="s">
        <v>52</v>
      </c>
      <c r="J26" s="33" t="e">
        <f t="shared" si="1"/>
        <v>#N/A</v>
      </c>
      <c r="K26" s="34" t="e">
        <f>VLOOKUP($A26,'Espesor Earlette'!$A$9:$J$58,10,FALSE)</f>
        <v>#N/A</v>
      </c>
      <c r="L26" s="34">
        <v>0.05</v>
      </c>
      <c r="M26" s="33" t="e">
        <f t="shared" si="2"/>
        <v>#N/A</v>
      </c>
      <c r="N26" s="33" t="e">
        <f t="shared" si="3"/>
        <v>#N/A</v>
      </c>
      <c r="O26" s="33" t="e">
        <f t="shared" si="4"/>
        <v>#N/A</v>
      </c>
      <c r="P26" s="33" t="e">
        <f t="shared" si="5"/>
        <v>#N/A</v>
      </c>
      <c r="Q26" s="33" t="e">
        <f t="shared" si="6"/>
        <v>#N/A</v>
      </c>
      <c r="R26" s="33" t="e">
        <f t="shared" si="7"/>
        <v>#N/A</v>
      </c>
      <c r="S26" s="35" t="e">
        <f t="shared" si="8"/>
        <v>#N/A</v>
      </c>
      <c r="T26" s="36">
        <f t="shared" si="9"/>
        <v>857500</v>
      </c>
      <c r="U26" s="36">
        <f t="shared" si="10"/>
        <v>857500</v>
      </c>
      <c r="V26" s="33" t="e">
        <f t="shared" si="11"/>
        <v>#N/A</v>
      </c>
      <c r="W26" s="33" t="e">
        <f t="shared" si="12"/>
        <v>#N/A</v>
      </c>
      <c r="X26" s="50" t="e">
        <f t="shared" si="13"/>
        <v>#N/A</v>
      </c>
      <c r="Y26" s="50" t="e">
        <f t="shared" si="14"/>
        <v>#N/A</v>
      </c>
      <c r="Z26" s="36" t="e">
        <f t="shared" si="15"/>
        <v>#N/A</v>
      </c>
      <c r="AA26" s="15" t="e">
        <f t="shared" si="16"/>
        <v>#N/A</v>
      </c>
      <c r="AB26" s="33" t="e">
        <f t="shared" si="17"/>
        <v>#N/A</v>
      </c>
    </row>
    <row r="27" spans="1:28" ht="13.5" x14ac:dyDescent="0.25">
      <c r="A27" s="160" t="str">
        <f t="array" ref="A27">IFERROR(INDEX('Espesor Earlette'!A24:A73, SMALL(IF('Espesor Earlette'!J24:J73&gt;=0.2, ROW('Espesor Earlette'!J24:J73)-ROW('Espesor Earlette'!J24)+1), ROWS($A$1:A16))), "")</f>
        <v/>
      </c>
      <c r="B27" s="72" t="e">
        <f>VLOOKUP($A27,'Espesor Earlette'!$A$9:$J$58,2,FALSE)</f>
        <v>#N/A</v>
      </c>
      <c r="C27" s="72" t="e">
        <f>VLOOKUP($A27,'Espesor Earlette'!$A$9:$J$58,3,FALSE)</f>
        <v>#N/A</v>
      </c>
      <c r="D27" s="32" t="e">
        <f>VLOOKUP($A27,'Espesor Earlette'!$A$9:$J$58,4,FALSE)</f>
        <v>#N/A</v>
      </c>
      <c r="E27" s="32" t="e">
        <f>VLOOKUP($A27,'Espesor Earlette'!$A$9:$J$58,5,FALSE)</f>
        <v>#N/A</v>
      </c>
      <c r="F27" s="32" t="e">
        <f>VLOOKUP($A27,'Espesor Earlette'!$A$9:$J$58,6,FALSE)</f>
        <v>#N/A</v>
      </c>
      <c r="G27" s="32" t="e">
        <f>VLOOKUP($A27,'Espesor Earlette'!$A$9:$J$58,7,FALSE)</f>
        <v>#N/A</v>
      </c>
      <c r="H27" s="32" t="e">
        <f t="shared" si="0"/>
        <v>#N/A</v>
      </c>
      <c r="I27" s="4" t="s">
        <v>52</v>
      </c>
      <c r="J27" s="33" t="e">
        <f t="shared" si="1"/>
        <v>#N/A</v>
      </c>
      <c r="K27" s="34" t="e">
        <f>VLOOKUP($A27,'Espesor Earlette'!$A$9:$J$58,10,FALSE)</f>
        <v>#N/A</v>
      </c>
      <c r="L27" s="34">
        <v>0.05</v>
      </c>
      <c r="M27" s="33" t="e">
        <f t="shared" si="2"/>
        <v>#N/A</v>
      </c>
      <c r="N27" s="33" t="e">
        <f t="shared" si="3"/>
        <v>#N/A</v>
      </c>
      <c r="O27" s="33" t="e">
        <f t="shared" si="4"/>
        <v>#N/A</v>
      </c>
      <c r="P27" s="33" t="e">
        <f t="shared" si="5"/>
        <v>#N/A</v>
      </c>
      <c r="Q27" s="33" t="e">
        <f t="shared" si="6"/>
        <v>#N/A</v>
      </c>
      <c r="R27" s="33" t="e">
        <f t="shared" si="7"/>
        <v>#N/A</v>
      </c>
      <c r="S27" s="35" t="e">
        <f t="shared" si="8"/>
        <v>#N/A</v>
      </c>
      <c r="T27" s="36">
        <f t="shared" si="9"/>
        <v>857500</v>
      </c>
      <c r="U27" s="36">
        <f t="shared" si="10"/>
        <v>857500</v>
      </c>
      <c r="V27" s="33" t="e">
        <f t="shared" si="11"/>
        <v>#N/A</v>
      </c>
      <c r="W27" s="33" t="e">
        <f t="shared" si="12"/>
        <v>#N/A</v>
      </c>
      <c r="X27" s="50" t="e">
        <f t="shared" si="13"/>
        <v>#N/A</v>
      </c>
      <c r="Y27" s="50" t="e">
        <f t="shared" si="14"/>
        <v>#N/A</v>
      </c>
      <c r="Z27" s="36" t="e">
        <f t="shared" si="15"/>
        <v>#N/A</v>
      </c>
      <c r="AA27" s="15" t="e">
        <f t="shared" si="16"/>
        <v>#N/A</v>
      </c>
      <c r="AB27" s="33" t="e">
        <f t="shared" si="17"/>
        <v>#N/A</v>
      </c>
    </row>
    <row r="28" spans="1:28" ht="13.5" x14ac:dyDescent="0.25">
      <c r="A28" s="160" t="str">
        <f t="array" ref="A28">IFERROR(INDEX('Espesor Earlette'!A25:A74, SMALL(IF('Espesor Earlette'!J25:J74&gt;=0.2, ROW('Espesor Earlette'!J25:J74)-ROW('Espesor Earlette'!J25)+1), ROWS($A$1:A17))), "")</f>
        <v/>
      </c>
      <c r="B28" s="72" t="e">
        <f>VLOOKUP($A28,'Espesor Earlette'!$A$9:$J$58,2,FALSE)</f>
        <v>#N/A</v>
      </c>
      <c r="C28" s="72" t="e">
        <f>VLOOKUP($A28,'Espesor Earlette'!$A$9:$J$58,3,FALSE)</f>
        <v>#N/A</v>
      </c>
      <c r="D28" s="32" t="e">
        <f>VLOOKUP($A28,'Espesor Earlette'!$A$9:$J$58,4,FALSE)</f>
        <v>#N/A</v>
      </c>
      <c r="E28" s="32" t="e">
        <f>VLOOKUP($A28,'Espesor Earlette'!$A$9:$J$58,5,FALSE)</f>
        <v>#N/A</v>
      </c>
      <c r="F28" s="32" t="e">
        <f>VLOOKUP($A28,'Espesor Earlette'!$A$9:$J$58,6,FALSE)</f>
        <v>#N/A</v>
      </c>
      <c r="G28" s="32" t="e">
        <f>VLOOKUP($A28,'Espesor Earlette'!$A$9:$J$58,7,FALSE)</f>
        <v>#N/A</v>
      </c>
      <c r="H28" s="32" t="e">
        <f t="shared" si="0"/>
        <v>#N/A</v>
      </c>
      <c r="I28" s="4" t="s">
        <v>52</v>
      </c>
      <c r="J28" s="33" t="e">
        <f t="shared" si="1"/>
        <v>#N/A</v>
      </c>
      <c r="K28" s="34" t="e">
        <f>VLOOKUP($A28,'Espesor Earlette'!$A$9:$J$58,10,FALSE)</f>
        <v>#N/A</v>
      </c>
      <c r="L28" s="34">
        <v>0.05</v>
      </c>
      <c r="M28" s="33" t="e">
        <f t="shared" si="2"/>
        <v>#N/A</v>
      </c>
      <c r="N28" s="33" t="e">
        <f t="shared" si="3"/>
        <v>#N/A</v>
      </c>
      <c r="O28" s="33" t="e">
        <f t="shared" si="4"/>
        <v>#N/A</v>
      </c>
      <c r="P28" s="33" t="e">
        <f t="shared" si="5"/>
        <v>#N/A</v>
      </c>
      <c r="Q28" s="33" t="e">
        <f t="shared" si="6"/>
        <v>#N/A</v>
      </c>
      <c r="R28" s="33" t="e">
        <f t="shared" si="7"/>
        <v>#N/A</v>
      </c>
      <c r="S28" s="35" t="e">
        <f t="shared" si="8"/>
        <v>#N/A</v>
      </c>
      <c r="T28" s="36">
        <f t="shared" si="9"/>
        <v>857500</v>
      </c>
      <c r="U28" s="36">
        <f t="shared" si="10"/>
        <v>857500</v>
      </c>
      <c r="V28" s="33" t="e">
        <f t="shared" si="11"/>
        <v>#N/A</v>
      </c>
      <c r="W28" s="33" t="e">
        <f t="shared" si="12"/>
        <v>#N/A</v>
      </c>
      <c r="X28" s="50" t="e">
        <f t="shared" si="13"/>
        <v>#N/A</v>
      </c>
      <c r="Y28" s="50" t="e">
        <f t="shared" si="14"/>
        <v>#N/A</v>
      </c>
      <c r="Z28" s="36" t="e">
        <f t="shared" si="15"/>
        <v>#N/A</v>
      </c>
      <c r="AA28" s="15" t="e">
        <f t="shared" si="16"/>
        <v>#N/A</v>
      </c>
      <c r="AB28" s="33" t="e">
        <f t="shared" si="17"/>
        <v>#N/A</v>
      </c>
    </row>
    <row r="29" spans="1:28" ht="13.5" x14ac:dyDescent="0.25">
      <c r="A29" s="160" t="str">
        <f t="array" ref="A29">IFERROR(INDEX('Espesor Earlette'!A26:A75, SMALL(IF('Espesor Earlette'!J26:J75&gt;=0.2, ROW('Espesor Earlette'!J26:J75)-ROW('Espesor Earlette'!J26)+1), ROWS($A$1:A18))), "")</f>
        <v/>
      </c>
      <c r="B29" s="72" t="e">
        <f>VLOOKUP($A29,'Espesor Earlette'!$A$9:$J$58,2,FALSE)</f>
        <v>#N/A</v>
      </c>
      <c r="C29" s="72" t="e">
        <f>VLOOKUP($A29,'Espesor Earlette'!$A$9:$J$58,3,FALSE)</f>
        <v>#N/A</v>
      </c>
      <c r="D29" s="32" t="e">
        <f>VLOOKUP($A29,'Espesor Earlette'!$A$9:$J$58,4,FALSE)</f>
        <v>#N/A</v>
      </c>
      <c r="E29" s="32" t="e">
        <f>VLOOKUP($A29,'Espesor Earlette'!$A$9:$J$58,5,FALSE)</f>
        <v>#N/A</v>
      </c>
      <c r="F29" s="32" t="e">
        <f>VLOOKUP($A29,'Espesor Earlette'!$A$9:$J$58,6,FALSE)</f>
        <v>#N/A</v>
      </c>
      <c r="G29" s="32" t="e">
        <f>VLOOKUP($A29,'Espesor Earlette'!$A$9:$J$58,7,FALSE)</f>
        <v>#N/A</v>
      </c>
      <c r="H29" s="32" t="e">
        <f t="shared" si="0"/>
        <v>#N/A</v>
      </c>
      <c r="I29" s="4" t="s">
        <v>52</v>
      </c>
      <c r="J29" s="33" t="e">
        <f t="shared" si="1"/>
        <v>#N/A</v>
      </c>
      <c r="K29" s="34" t="e">
        <f>VLOOKUP($A29,'Espesor Earlette'!$A$9:$J$58,10,FALSE)</f>
        <v>#N/A</v>
      </c>
      <c r="L29" s="34">
        <v>0.05</v>
      </c>
      <c r="M29" s="33" t="e">
        <f t="shared" si="2"/>
        <v>#N/A</v>
      </c>
      <c r="N29" s="33" t="e">
        <f t="shared" si="3"/>
        <v>#N/A</v>
      </c>
      <c r="O29" s="33" t="e">
        <f t="shared" si="4"/>
        <v>#N/A</v>
      </c>
      <c r="P29" s="33" t="e">
        <f t="shared" si="5"/>
        <v>#N/A</v>
      </c>
      <c r="Q29" s="33" t="e">
        <f t="shared" si="6"/>
        <v>#N/A</v>
      </c>
      <c r="R29" s="33" t="e">
        <f t="shared" si="7"/>
        <v>#N/A</v>
      </c>
      <c r="S29" s="35" t="e">
        <f t="shared" si="8"/>
        <v>#N/A</v>
      </c>
      <c r="T29" s="36">
        <f t="shared" si="9"/>
        <v>857500</v>
      </c>
      <c r="U29" s="36">
        <f t="shared" si="10"/>
        <v>857500</v>
      </c>
      <c r="V29" s="33" t="e">
        <f t="shared" si="11"/>
        <v>#N/A</v>
      </c>
      <c r="W29" s="33" t="e">
        <f t="shared" si="12"/>
        <v>#N/A</v>
      </c>
      <c r="X29" s="50" t="e">
        <f t="shared" si="13"/>
        <v>#N/A</v>
      </c>
      <c r="Y29" s="50" t="e">
        <f t="shared" si="14"/>
        <v>#N/A</v>
      </c>
      <c r="Z29" s="36" t="e">
        <f t="shared" si="15"/>
        <v>#N/A</v>
      </c>
      <c r="AA29" s="15" t="e">
        <f t="shared" si="16"/>
        <v>#N/A</v>
      </c>
      <c r="AB29" s="33" t="e">
        <f t="shared" si="17"/>
        <v>#N/A</v>
      </c>
    </row>
    <row r="30" spans="1:28" ht="13.5" x14ac:dyDescent="0.25">
      <c r="A30" s="160" t="str">
        <f t="array" ref="A30">IFERROR(INDEX('Espesor Earlette'!A27:A76, SMALL(IF('Espesor Earlette'!J27:J76&gt;=0.2, ROW('Espesor Earlette'!J27:J76)-ROW('Espesor Earlette'!J27)+1), ROWS($A$1:A19))), "")</f>
        <v/>
      </c>
      <c r="B30" s="72" t="e">
        <f>VLOOKUP($A30,'Espesor Earlette'!$A$9:$J$58,2,FALSE)</f>
        <v>#N/A</v>
      </c>
      <c r="C30" s="72" t="e">
        <f>VLOOKUP($A30,'Espesor Earlette'!$A$9:$J$58,3,FALSE)</f>
        <v>#N/A</v>
      </c>
      <c r="D30" s="32" t="e">
        <f>VLOOKUP($A30,'Espesor Earlette'!$A$9:$J$58,4,FALSE)</f>
        <v>#N/A</v>
      </c>
      <c r="E30" s="32" t="e">
        <f>VLOOKUP($A30,'Espesor Earlette'!$A$9:$J$58,5,FALSE)</f>
        <v>#N/A</v>
      </c>
      <c r="F30" s="32" t="e">
        <f>VLOOKUP($A30,'Espesor Earlette'!$A$9:$J$58,6,FALSE)</f>
        <v>#N/A</v>
      </c>
      <c r="G30" s="32" t="e">
        <f>VLOOKUP($A30,'Espesor Earlette'!$A$9:$J$58,7,FALSE)</f>
        <v>#N/A</v>
      </c>
      <c r="H30" s="32" t="e">
        <f t="shared" si="0"/>
        <v>#N/A</v>
      </c>
      <c r="I30" s="4" t="s">
        <v>52</v>
      </c>
      <c r="J30" s="33" t="e">
        <f t="shared" si="1"/>
        <v>#N/A</v>
      </c>
      <c r="K30" s="34" t="e">
        <f>VLOOKUP($A30,'Espesor Earlette'!$A$9:$J$58,10,FALSE)</f>
        <v>#N/A</v>
      </c>
      <c r="L30" s="34">
        <v>0.05</v>
      </c>
      <c r="M30" s="33" t="e">
        <f t="shared" si="2"/>
        <v>#N/A</v>
      </c>
      <c r="N30" s="33" t="e">
        <f t="shared" si="3"/>
        <v>#N/A</v>
      </c>
      <c r="O30" s="33" t="e">
        <f t="shared" si="4"/>
        <v>#N/A</v>
      </c>
      <c r="P30" s="33" t="e">
        <f t="shared" si="5"/>
        <v>#N/A</v>
      </c>
      <c r="Q30" s="33" t="e">
        <f t="shared" si="6"/>
        <v>#N/A</v>
      </c>
      <c r="R30" s="33" t="e">
        <f t="shared" si="7"/>
        <v>#N/A</v>
      </c>
      <c r="S30" s="35" t="e">
        <f t="shared" si="8"/>
        <v>#N/A</v>
      </c>
      <c r="T30" s="36">
        <f t="shared" si="9"/>
        <v>857500</v>
      </c>
      <c r="U30" s="36">
        <f t="shared" si="10"/>
        <v>857500</v>
      </c>
      <c r="V30" s="33" t="e">
        <f t="shared" si="11"/>
        <v>#N/A</v>
      </c>
      <c r="W30" s="33" t="e">
        <f t="shared" si="12"/>
        <v>#N/A</v>
      </c>
      <c r="X30" s="50" t="e">
        <f t="shared" si="13"/>
        <v>#N/A</v>
      </c>
      <c r="Y30" s="50" t="e">
        <f t="shared" si="14"/>
        <v>#N/A</v>
      </c>
      <c r="Z30" s="36" t="e">
        <f t="shared" si="15"/>
        <v>#N/A</v>
      </c>
      <c r="AA30" s="15" t="e">
        <f t="shared" si="16"/>
        <v>#N/A</v>
      </c>
      <c r="AB30" s="33" t="e">
        <f t="shared" si="17"/>
        <v>#N/A</v>
      </c>
    </row>
    <row r="31" spans="1:28" ht="13.5" x14ac:dyDescent="0.25">
      <c r="A31" s="160" t="str">
        <f t="array" ref="A31">IFERROR(INDEX('Espesor Earlette'!A28:A77, SMALL(IF('Espesor Earlette'!J28:J77&gt;=0.2, ROW('Espesor Earlette'!J28:J77)-ROW('Espesor Earlette'!J28)+1), ROWS($A$1:A20))), "")</f>
        <v/>
      </c>
      <c r="B31" s="72" t="e">
        <f>VLOOKUP($A31,'Espesor Earlette'!$A$9:$J$58,2,FALSE)</f>
        <v>#N/A</v>
      </c>
      <c r="C31" s="72" t="e">
        <f>VLOOKUP($A31,'Espesor Earlette'!$A$9:$J$58,3,FALSE)</f>
        <v>#N/A</v>
      </c>
      <c r="D31" s="32" t="e">
        <f>VLOOKUP($A31,'Espesor Earlette'!$A$9:$J$58,4,FALSE)</f>
        <v>#N/A</v>
      </c>
      <c r="E31" s="32" t="e">
        <f>VLOOKUP($A31,'Espesor Earlette'!$A$9:$J$58,5,FALSE)</f>
        <v>#N/A</v>
      </c>
      <c r="F31" s="32" t="e">
        <f>VLOOKUP($A31,'Espesor Earlette'!$A$9:$J$58,6,FALSE)</f>
        <v>#N/A</v>
      </c>
      <c r="G31" s="32" t="e">
        <f>VLOOKUP($A31,'Espesor Earlette'!$A$9:$J$58,7,FALSE)</f>
        <v>#N/A</v>
      </c>
      <c r="H31" s="32" t="e">
        <f t="shared" si="0"/>
        <v>#N/A</v>
      </c>
      <c r="I31" s="4" t="s">
        <v>52</v>
      </c>
      <c r="J31" s="33" t="e">
        <f t="shared" si="1"/>
        <v>#N/A</v>
      </c>
      <c r="K31" s="34" t="e">
        <f>VLOOKUP($A31,'Espesor Earlette'!$A$9:$J$58,10,FALSE)</f>
        <v>#N/A</v>
      </c>
      <c r="L31" s="34">
        <v>0.05</v>
      </c>
      <c r="M31" s="33" t="e">
        <f t="shared" si="2"/>
        <v>#N/A</v>
      </c>
      <c r="N31" s="33" t="e">
        <f t="shared" si="3"/>
        <v>#N/A</v>
      </c>
      <c r="O31" s="33" t="e">
        <f t="shared" si="4"/>
        <v>#N/A</v>
      </c>
      <c r="P31" s="33" t="e">
        <f t="shared" si="5"/>
        <v>#N/A</v>
      </c>
      <c r="Q31" s="33" t="e">
        <f t="shared" si="6"/>
        <v>#N/A</v>
      </c>
      <c r="R31" s="33" t="e">
        <f t="shared" si="7"/>
        <v>#N/A</v>
      </c>
      <c r="S31" s="35" t="e">
        <f t="shared" si="8"/>
        <v>#N/A</v>
      </c>
      <c r="T31" s="36">
        <f t="shared" si="9"/>
        <v>857500</v>
      </c>
      <c r="U31" s="36">
        <f t="shared" si="10"/>
        <v>857500</v>
      </c>
      <c r="V31" s="33" t="e">
        <f t="shared" si="11"/>
        <v>#N/A</v>
      </c>
      <c r="W31" s="33" t="e">
        <f t="shared" si="12"/>
        <v>#N/A</v>
      </c>
      <c r="X31" s="50" t="e">
        <f t="shared" si="13"/>
        <v>#N/A</v>
      </c>
      <c r="Y31" s="50" t="e">
        <f t="shared" si="14"/>
        <v>#N/A</v>
      </c>
      <c r="Z31" s="36" t="e">
        <f t="shared" si="15"/>
        <v>#N/A</v>
      </c>
      <c r="AA31" s="15" t="e">
        <f t="shared" si="16"/>
        <v>#N/A</v>
      </c>
      <c r="AB31" s="33" t="e">
        <f t="shared" si="17"/>
        <v>#N/A</v>
      </c>
    </row>
    <row r="32" spans="1:28" x14ac:dyDescent="0.2">
      <c r="A32" s="165" t="str">
        <f ca="1">REPT('Espesor E2'!AC2,65)</f>
        <v xml:space="preserve">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 E2 /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</row>
    <row r="33" spans="1:28" ht="13.5" x14ac:dyDescent="0.25">
      <c r="A33" s="160" t="str">
        <f t="array" ref="A33">IFERROR(INDEX('Espesor E2'!A9:A58, SMALL(IF('Espesor E2'!J9:J58&gt;=0.2, ROW('Espesor E2'!J9:J58)-ROW('Espesor E2'!A9)+1), ROW(1:1))), "N/A")</f>
        <v>N/A</v>
      </c>
      <c r="B33" s="72" t="e">
        <f>VLOOKUP($A33,'Espesor E2'!$A$9:$J$58,2,FALSE)</f>
        <v>#N/A</v>
      </c>
      <c r="C33" s="72" t="e">
        <f>VLOOKUP($A33,'Espesor E2'!$A$9:$J$58,3,FALSE)</f>
        <v>#N/A</v>
      </c>
      <c r="D33" s="32" t="e">
        <f>VLOOKUP($A33,'Espesor E2'!$A$9:$J$58,4,FALSE)</f>
        <v>#N/A</v>
      </c>
      <c r="E33" s="32" t="e">
        <f>VLOOKUP($A33,'Espesor E2'!$A$9:$J$58,5,FALSE)</f>
        <v>#N/A</v>
      </c>
      <c r="F33" s="32" t="e">
        <f>VLOOKUP($A33,'Espesor E2'!$A$9:$J$58,6,FALSE)</f>
        <v>#N/A</v>
      </c>
      <c r="G33" s="32" t="e">
        <f>VLOOKUP($A33,'Espesor E2'!$A$9:$J$58,7,FALSE)</f>
        <v>#N/A</v>
      </c>
      <c r="H33" s="32" t="e">
        <f>IF(D33="2D",(F33*(0.8+($C$8/14000)))/(36+9*G33),F33/E33)</f>
        <v>#N/A</v>
      </c>
      <c r="I33" s="4" t="s">
        <v>52</v>
      </c>
      <c r="J33" s="33" t="e">
        <f>MAX(0.12,H33)</f>
        <v>#N/A</v>
      </c>
      <c r="K33" s="34" t="e">
        <f>VLOOKUP($A33,'Espesor E2'!$A$9:$J$58,10,FALSE)</f>
        <v>#N/A</v>
      </c>
      <c r="L33" s="34">
        <v>0.05</v>
      </c>
      <c r="M33" s="33" t="e">
        <f>IF(D33="2D",IF(B33&lt;C33,INT(B33/($N$3+$N$5)),INT(B33/($N$3+$N$4))),IF(B33&gt;C33,INT(B33/($L$3+$L$4)),INT(B33/$L$5)))</f>
        <v>#N/A</v>
      </c>
      <c r="N33" s="33" t="e">
        <f>IF(D33="2D",IF(C33&lt;B33,INT(C33/($N$3+$N$5)),INT(C33/($N$3+$N$4))),IF(C33&gt;B33,INT(C33/($L$3+$L$4)),INT(C33/$L$5)))</f>
        <v>#N/A</v>
      </c>
      <c r="O33" s="33" t="e">
        <f>M33*N33</f>
        <v>#N/A</v>
      </c>
      <c r="P33" s="33" t="e">
        <f>O33*(IF(D33="1D",($L$4*$L$5),($N$4*$N$5)))*(K33-L33)</f>
        <v>#N/A</v>
      </c>
      <c r="Q33" s="33" t="e">
        <f>K33*B33*C33</f>
        <v>#N/A</v>
      </c>
      <c r="R33" s="33" t="e">
        <f>Q33-P33</f>
        <v>#N/A</v>
      </c>
      <c r="S33" s="35" t="e">
        <f>R33/(B33*C33)</f>
        <v>#N/A</v>
      </c>
      <c r="T33" s="36">
        <f>$T$7*$T$8*$T$8*$T$8/12</f>
        <v>857500</v>
      </c>
      <c r="U33" s="36">
        <f>T33</f>
        <v>857500</v>
      </c>
      <c r="V33" s="33" t="e">
        <f>(C33*100/2)*(J33*J33*J33*1000000)/12</f>
        <v>#N/A</v>
      </c>
      <c r="W33" s="33" t="e">
        <f>(B33*100/2)*(J33*J33*J33*1000000)/12</f>
        <v>#N/A</v>
      </c>
      <c r="X33" s="49" t="e">
        <f>T33/V33</f>
        <v>#N/A</v>
      </c>
      <c r="Y33" s="49" t="e">
        <f>U33/W33</f>
        <v>#N/A</v>
      </c>
      <c r="Z33" s="36" t="e">
        <f>(X33*2+Y33*2)/4</f>
        <v>#N/A</v>
      </c>
      <c r="AA33" s="15" t="e">
        <f>IF(Z33&gt;2,"OK","CHK")</f>
        <v>#N/A</v>
      </c>
      <c r="AB33" s="33" t="e">
        <f>(F33*(0.8+($C$9/14000)))/(36+5*G33*(0.2-0.12))</f>
        <v>#N/A</v>
      </c>
    </row>
    <row r="34" spans="1:28" ht="13.5" x14ac:dyDescent="0.25">
      <c r="A34" s="160" t="str">
        <f t="array" ref="A34">IFERROR(INDEX('Espesor E2'!A10:A59, SMALL(IF('Espesor E2'!J10:J59&gt;=0.2, ROW('Espesor E2'!J10:J59)-ROW('Espesor E2'!A10)+1), ROW(2:2))), "N/A")</f>
        <v>N/A</v>
      </c>
      <c r="B34" s="72" t="e">
        <f>VLOOKUP($A34,'Espesor E2'!$A$9:$J$58,2,FALSE)</f>
        <v>#N/A</v>
      </c>
      <c r="C34" s="72" t="e">
        <f>VLOOKUP($A34,'Espesor E2'!$A$9:$J$58,3,FALSE)</f>
        <v>#N/A</v>
      </c>
      <c r="D34" s="32" t="e">
        <f>VLOOKUP($A34,'Espesor E2'!$A$9:$J$58,4,FALSE)</f>
        <v>#N/A</v>
      </c>
      <c r="E34" s="32" t="e">
        <f>VLOOKUP($A34,'Espesor E2'!$A$9:$J$58,5,FALSE)</f>
        <v>#N/A</v>
      </c>
      <c r="F34" s="32" t="e">
        <f>VLOOKUP($A34,'Espesor E2'!$A$9:$J$58,6,FALSE)</f>
        <v>#N/A</v>
      </c>
      <c r="G34" s="32" t="e">
        <f>VLOOKUP($A34,'Espesor E2'!$A$9:$J$58,7,FALSE)</f>
        <v>#N/A</v>
      </c>
      <c r="H34" s="32" t="e">
        <f t="shared" ref="H34:H52" si="18">IF(D34="2D",(F34*(0.8+($C$8/14000)))/(36+9*G34),F34/E34)</f>
        <v>#N/A</v>
      </c>
      <c r="I34" s="4" t="s">
        <v>52</v>
      </c>
      <c r="J34" s="33" t="e">
        <f t="shared" ref="J34:J52" si="19">MAX(0.12,H34)</f>
        <v>#N/A</v>
      </c>
      <c r="K34" s="34" t="e">
        <f>VLOOKUP($A34,'Espesor E2'!$A$9:$J$58,10,FALSE)</f>
        <v>#N/A</v>
      </c>
      <c r="L34" s="34">
        <v>0.05</v>
      </c>
      <c r="M34" s="33" t="e">
        <f t="shared" ref="M34:M52" si="20">IF(D34="2D",IF(B34&lt;C34,INT(B34/($N$3+$N$5)),INT(B34/($N$3+$N$4))),IF(B34&gt;C34,INT(B34/($L$3+$L$4)),INT(B34/$L$5)))</f>
        <v>#N/A</v>
      </c>
      <c r="N34" s="33" t="e">
        <f t="shared" ref="N34:N52" si="21">IF(D34="2D",IF(C34&lt;B34,INT(C34/($N$3+$N$5)),INT(C34/($N$3+$N$4))),IF(C34&gt;B34,INT(C34/($L$3+$L$4)),INT(C34/$L$5)))</f>
        <v>#N/A</v>
      </c>
      <c r="O34" s="33" t="e">
        <f t="shared" ref="O34:O52" si="22">M34*N34</f>
        <v>#N/A</v>
      </c>
      <c r="P34" s="33" t="e">
        <f t="shared" ref="P34:P52" si="23">O34*(IF(D34="1D",($L$4*$L$5),($N$4*$N$5)))*(K34-L34)</f>
        <v>#N/A</v>
      </c>
      <c r="Q34" s="33" t="e">
        <f t="shared" ref="Q34:Q52" si="24">K34*B34*C34</f>
        <v>#N/A</v>
      </c>
      <c r="R34" s="33" t="e">
        <f t="shared" ref="R34:R52" si="25">Q34-P34</f>
        <v>#N/A</v>
      </c>
      <c r="S34" s="35" t="e">
        <f t="shared" ref="S34:S52" si="26">R34/(B34*C34)</f>
        <v>#N/A</v>
      </c>
      <c r="T34" s="36">
        <f t="shared" ref="T34:T52" si="27">$T$7*$T$8*$T$8*$T$8/12</f>
        <v>857500</v>
      </c>
      <c r="U34" s="36">
        <f t="shared" ref="U34:U52" si="28">T34</f>
        <v>857500</v>
      </c>
      <c r="V34" s="33" t="e">
        <f t="shared" ref="V34:V52" si="29">(C34*100/2)*(J34*J34*J34*1000000)/12</f>
        <v>#N/A</v>
      </c>
      <c r="W34" s="33" t="e">
        <f t="shared" ref="W34:W52" si="30">(B34*100/2)*(J34*J34*J34*1000000)/12</f>
        <v>#N/A</v>
      </c>
      <c r="X34" s="49" t="e">
        <f t="shared" ref="X34:X52" si="31">T34/V34</f>
        <v>#N/A</v>
      </c>
      <c r="Y34" s="49" t="e">
        <f t="shared" ref="Y34:Y52" si="32">U34/W34</f>
        <v>#N/A</v>
      </c>
      <c r="Z34" s="36" t="e">
        <f t="shared" ref="Z34:Z52" si="33">(X34*2+Y34*2)/4</f>
        <v>#N/A</v>
      </c>
      <c r="AA34" s="15" t="e">
        <f t="shared" ref="AA34:AA52" si="34">IF(Z34&gt;2,"OK","CHK")</f>
        <v>#N/A</v>
      </c>
      <c r="AB34" s="33" t="e">
        <f t="shared" ref="AB34:AB52" si="35">(F34*(0.8+($C$9/14000)))/(36+5*G34*(0.2-0.12))</f>
        <v>#N/A</v>
      </c>
    </row>
    <row r="35" spans="1:28" ht="13.5" x14ac:dyDescent="0.25">
      <c r="A35" s="160" t="str">
        <f t="array" ref="A35">IFERROR(INDEX('Espesor E2'!A11:A60, SMALL(IF('Espesor E2'!J11:J60&gt;=0.2, ROW('Espesor E2'!J11:J60)-ROW('Espesor E2'!A11)+1), ROW(3:3))), "N/A")</f>
        <v>N/A</v>
      </c>
      <c r="B35" s="72" t="e">
        <f>VLOOKUP($A35,'Espesor E2'!$A$9:$J$58,2,FALSE)</f>
        <v>#N/A</v>
      </c>
      <c r="C35" s="72" t="e">
        <f>VLOOKUP($A35,'Espesor E2'!$A$9:$J$58,3,FALSE)</f>
        <v>#N/A</v>
      </c>
      <c r="D35" s="32" t="e">
        <f>VLOOKUP($A35,'Espesor E2'!$A$9:$J$58,4,FALSE)</f>
        <v>#N/A</v>
      </c>
      <c r="E35" s="32" t="e">
        <f>VLOOKUP($A35,'Espesor E2'!$A$9:$J$58,5,FALSE)</f>
        <v>#N/A</v>
      </c>
      <c r="F35" s="32" t="e">
        <f>VLOOKUP($A35,'Espesor E2'!$A$9:$J$58,6,FALSE)</f>
        <v>#N/A</v>
      </c>
      <c r="G35" s="32" t="e">
        <f>VLOOKUP($A35,'Espesor E2'!$A$9:$J$58,7,FALSE)</f>
        <v>#N/A</v>
      </c>
      <c r="H35" s="32" t="e">
        <f t="shared" si="18"/>
        <v>#N/A</v>
      </c>
      <c r="I35" s="4" t="s">
        <v>52</v>
      </c>
      <c r="J35" s="33" t="e">
        <f t="shared" si="19"/>
        <v>#N/A</v>
      </c>
      <c r="K35" s="34" t="e">
        <f>VLOOKUP($A35,'Espesor E2'!$A$9:$J$58,10,FALSE)</f>
        <v>#N/A</v>
      </c>
      <c r="L35" s="34">
        <v>0.05</v>
      </c>
      <c r="M35" s="33" t="e">
        <f t="shared" si="20"/>
        <v>#N/A</v>
      </c>
      <c r="N35" s="33" t="e">
        <f t="shared" si="21"/>
        <v>#N/A</v>
      </c>
      <c r="O35" s="33" t="e">
        <f t="shared" si="22"/>
        <v>#N/A</v>
      </c>
      <c r="P35" s="33" t="e">
        <f t="shared" si="23"/>
        <v>#N/A</v>
      </c>
      <c r="Q35" s="33" t="e">
        <f t="shared" si="24"/>
        <v>#N/A</v>
      </c>
      <c r="R35" s="33" t="e">
        <f t="shared" si="25"/>
        <v>#N/A</v>
      </c>
      <c r="S35" s="35" t="e">
        <f t="shared" si="26"/>
        <v>#N/A</v>
      </c>
      <c r="T35" s="36">
        <f t="shared" si="27"/>
        <v>857500</v>
      </c>
      <c r="U35" s="36">
        <f t="shared" si="28"/>
        <v>857500</v>
      </c>
      <c r="V35" s="33" t="e">
        <f t="shared" si="29"/>
        <v>#N/A</v>
      </c>
      <c r="W35" s="33" t="e">
        <f t="shared" si="30"/>
        <v>#N/A</v>
      </c>
      <c r="X35" s="49" t="e">
        <f t="shared" si="31"/>
        <v>#N/A</v>
      </c>
      <c r="Y35" s="49" t="e">
        <f t="shared" si="32"/>
        <v>#N/A</v>
      </c>
      <c r="Z35" s="36" t="e">
        <f t="shared" si="33"/>
        <v>#N/A</v>
      </c>
      <c r="AA35" s="15" t="e">
        <f t="shared" si="34"/>
        <v>#N/A</v>
      </c>
      <c r="AB35" s="33" t="e">
        <f t="shared" si="35"/>
        <v>#N/A</v>
      </c>
    </row>
    <row r="36" spans="1:28" ht="13.5" x14ac:dyDescent="0.25">
      <c r="A36" s="160" t="str">
        <f t="array" ref="A36">IFERROR(INDEX('Espesor E2'!A12:A61, SMALL(IF('Espesor E2'!J12:J61&gt;=0.2, ROW('Espesor E2'!J12:J61)-ROW('Espesor E2'!A12)+1), ROW(4:4))), "N/A")</f>
        <v>N/A</v>
      </c>
      <c r="B36" s="72" t="e">
        <f>VLOOKUP($A36,'Espesor E2'!$A$9:$J$58,2,FALSE)</f>
        <v>#N/A</v>
      </c>
      <c r="C36" s="72" t="e">
        <f>VLOOKUP($A36,'Espesor E2'!$A$9:$J$58,3,FALSE)</f>
        <v>#N/A</v>
      </c>
      <c r="D36" s="32" t="e">
        <f>VLOOKUP($A36,'Espesor E2'!$A$9:$J$58,4,FALSE)</f>
        <v>#N/A</v>
      </c>
      <c r="E36" s="32" t="e">
        <f>VLOOKUP($A36,'Espesor E2'!$A$9:$J$58,5,FALSE)</f>
        <v>#N/A</v>
      </c>
      <c r="F36" s="32" t="e">
        <f>VLOOKUP($A36,'Espesor E2'!$A$9:$J$58,6,FALSE)</f>
        <v>#N/A</v>
      </c>
      <c r="G36" s="32" t="e">
        <f>VLOOKUP($A36,'Espesor E2'!$A$9:$J$58,7,FALSE)</f>
        <v>#N/A</v>
      </c>
      <c r="H36" s="32" t="e">
        <f t="shared" si="18"/>
        <v>#N/A</v>
      </c>
      <c r="I36" s="4" t="s">
        <v>52</v>
      </c>
      <c r="J36" s="33" t="e">
        <f t="shared" si="19"/>
        <v>#N/A</v>
      </c>
      <c r="K36" s="34" t="e">
        <f>VLOOKUP($A36,'Espesor E2'!$A$9:$J$58,10,FALSE)</f>
        <v>#N/A</v>
      </c>
      <c r="L36" s="34">
        <v>0.05</v>
      </c>
      <c r="M36" s="33" t="e">
        <f t="shared" si="20"/>
        <v>#N/A</v>
      </c>
      <c r="N36" s="33" t="e">
        <f t="shared" si="21"/>
        <v>#N/A</v>
      </c>
      <c r="O36" s="33" t="e">
        <f t="shared" si="22"/>
        <v>#N/A</v>
      </c>
      <c r="P36" s="33" t="e">
        <f t="shared" si="23"/>
        <v>#N/A</v>
      </c>
      <c r="Q36" s="33" t="e">
        <f t="shared" si="24"/>
        <v>#N/A</v>
      </c>
      <c r="R36" s="33" t="e">
        <f t="shared" si="25"/>
        <v>#N/A</v>
      </c>
      <c r="S36" s="35" t="e">
        <f t="shared" si="26"/>
        <v>#N/A</v>
      </c>
      <c r="T36" s="36">
        <f t="shared" si="27"/>
        <v>857500</v>
      </c>
      <c r="U36" s="36">
        <f t="shared" si="28"/>
        <v>857500</v>
      </c>
      <c r="V36" s="33" t="e">
        <f t="shared" si="29"/>
        <v>#N/A</v>
      </c>
      <c r="W36" s="33" t="e">
        <f t="shared" si="30"/>
        <v>#N/A</v>
      </c>
      <c r="X36" s="49" t="e">
        <f t="shared" si="31"/>
        <v>#N/A</v>
      </c>
      <c r="Y36" s="49" t="e">
        <f t="shared" si="32"/>
        <v>#N/A</v>
      </c>
      <c r="Z36" s="36" t="e">
        <f t="shared" si="33"/>
        <v>#N/A</v>
      </c>
      <c r="AA36" s="15" t="e">
        <f t="shared" si="34"/>
        <v>#N/A</v>
      </c>
      <c r="AB36" s="33" t="e">
        <f t="shared" si="35"/>
        <v>#N/A</v>
      </c>
    </row>
    <row r="37" spans="1:28" ht="13.5" x14ac:dyDescent="0.25">
      <c r="A37" s="160" t="str">
        <f t="array" ref="A37">IFERROR(INDEX('Espesor E2'!A13:A62, SMALL(IF('Espesor E2'!J13:J62&gt;=0.2, ROW('Espesor E2'!J13:J62)-ROW('Espesor E2'!A13)+1), ROW(5:5))), "N/A")</f>
        <v>N/A</v>
      </c>
      <c r="B37" s="72" t="e">
        <f>VLOOKUP($A37,'Espesor E2'!$A$9:$J$58,2,FALSE)</f>
        <v>#N/A</v>
      </c>
      <c r="C37" s="72" t="e">
        <f>VLOOKUP($A37,'Espesor E2'!$A$9:$J$58,3,FALSE)</f>
        <v>#N/A</v>
      </c>
      <c r="D37" s="32" t="e">
        <f>VLOOKUP($A37,'Espesor E2'!$A$9:$J$58,4,FALSE)</f>
        <v>#N/A</v>
      </c>
      <c r="E37" s="32" t="e">
        <f>VLOOKUP($A37,'Espesor E2'!$A$9:$J$58,5,FALSE)</f>
        <v>#N/A</v>
      </c>
      <c r="F37" s="32" t="e">
        <f>VLOOKUP($A37,'Espesor E2'!$A$9:$J$58,6,FALSE)</f>
        <v>#N/A</v>
      </c>
      <c r="G37" s="32" t="e">
        <f>VLOOKUP($A37,'Espesor E2'!$A$9:$J$58,7,FALSE)</f>
        <v>#N/A</v>
      </c>
      <c r="H37" s="32" t="e">
        <f t="shared" si="18"/>
        <v>#N/A</v>
      </c>
      <c r="I37" s="4" t="s">
        <v>52</v>
      </c>
      <c r="J37" s="33" t="e">
        <f t="shared" si="19"/>
        <v>#N/A</v>
      </c>
      <c r="K37" s="34" t="e">
        <f>VLOOKUP($A37,'Espesor E2'!$A$9:$J$58,10,FALSE)</f>
        <v>#N/A</v>
      </c>
      <c r="L37" s="34">
        <v>0.05</v>
      </c>
      <c r="M37" s="33" t="e">
        <f t="shared" si="20"/>
        <v>#N/A</v>
      </c>
      <c r="N37" s="33" t="e">
        <f t="shared" si="21"/>
        <v>#N/A</v>
      </c>
      <c r="O37" s="33" t="e">
        <f t="shared" si="22"/>
        <v>#N/A</v>
      </c>
      <c r="P37" s="33" t="e">
        <f t="shared" si="23"/>
        <v>#N/A</v>
      </c>
      <c r="Q37" s="33" t="e">
        <f t="shared" si="24"/>
        <v>#N/A</v>
      </c>
      <c r="R37" s="33" t="e">
        <f t="shared" si="25"/>
        <v>#N/A</v>
      </c>
      <c r="S37" s="35" t="e">
        <f t="shared" si="26"/>
        <v>#N/A</v>
      </c>
      <c r="T37" s="36">
        <f t="shared" si="27"/>
        <v>857500</v>
      </c>
      <c r="U37" s="36">
        <f t="shared" si="28"/>
        <v>857500</v>
      </c>
      <c r="V37" s="33" t="e">
        <f t="shared" si="29"/>
        <v>#N/A</v>
      </c>
      <c r="W37" s="33" t="e">
        <f t="shared" si="30"/>
        <v>#N/A</v>
      </c>
      <c r="X37" s="49" t="e">
        <f t="shared" si="31"/>
        <v>#N/A</v>
      </c>
      <c r="Y37" s="49" t="e">
        <f t="shared" si="32"/>
        <v>#N/A</v>
      </c>
      <c r="Z37" s="36" t="e">
        <f t="shared" si="33"/>
        <v>#N/A</v>
      </c>
      <c r="AA37" s="15" t="e">
        <f t="shared" si="34"/>
        <v>#N/A</v>
      </c>
      <c r="AB37" s="33" t="e">
        <f t="shared" si="35"/>
        <v>#N/A</v>
      </c>
    </row>
    <row r="38" spans="1:28" ht="13.5" x14ac:dyDescent="0.25">
      <c r="A38" s="160" t="str">
        <f t="array" ref="A38">IFERROR(INDEX('Espesor E2'!A14:A63, SMALL(IF('Espesor E2'!J14:J63&gt;=0.2, ROW('Espesor E2'!J14:J63)-ROW('Espesor E2'!A14)+1), ROW(6:6))), "N/A")</f>
        <v>N/A</v>
      </c>
      <c r="B38" s="72" t="e">
        <f>VLOOKUP($A38,'Espesor E2'!$A$9:$J$58,2,FALSE)</f>
        <v>#N/A</v>
      </c>
      <c r="C38" s="72" t="e">
        <f>VLOOKUP($A38,'Espesor E2'!$A$9:$J$58,3,FALSE)</f>
        <v>#N/A</v>
      </c>
      <c r="D38" s="32" t="e">
        <f>VLOOKUP($A38,'Espesor E2'!$A$9:$J$58,4,FALSE)</f>
        <v>#N/A</v>
      </c>
      <c r="E38" s="32" t="e">
        <f>VLOOKUP($A38,'Espesor E2'!$A$9:$J$58,5,FALSE)</f>
        <v>#N/A</v>
      </c>
      <c r="F38" s="32" t="e">
        <f>VLOOKUP($A38,'Espesor E2'!$A$9:$J$58,6,FALSE)</f>
        <v>#N/A</v>
      </c>
      <c r="G38" s="32" t="e">
        <f>VLOOKUP($A38,'Espesor E2'!$A$9:$J$58,7,FALSE)</f>
        <v>#N/A</v>
      </c>
      <c r="H38" s="32" t="e">
        <f t="shared" si="18"/>
        <v>#N/A</v>
      </c>
      <c r="I38" s="4" t="s">
        <v>52</v>
      </c>
      <c r="J38" s="33" t="e">
        <f t="shared" si="19"/>
        <v>#N/A</v>
      </c>
      <c r="K38" s="34" t="e">
        <f>VLOOKUP($A38,'Espesor E2'!$A$9:$J$58,10,FALSE)</f>
        <v>#N/A</v>
      </c>
      <c r="L38" s="34">
        <v>0.05</v>
      </c>
      <c r="M38" s="33" t="e">
        <f t="shared" si="20"/>
        <v>#N/A</v>
      </c>
      <c r="N38" s="33" t="e">
        <f t="shared" si="21"/>
        <v>#N/A</v>
      </c>
      <c r="O38" s="33" t="e">
        <f t="shared" si="22"/>
        <v>#N/A</v>
      </c>
      <c r="P38" s="33" t="e">
        <f t="shared" si="23"/>
        <v>#N/A</v>
      </c>
      <c r="Q38" s="33" t="e">
        <f t="shared" si="24"/>
        <v>#N/A</v>
      </c>
      <c r="R38" s="33" t="e">
        <f t="shared" si="25"/>
        <v>#N/A</v>
      </c>
      <c r="S38" s="35" t="e">
        <f t="shared" si="26"/>
        <v>#N/A</v>
      </c>
      <c r="T38" s="36">
        <f t="shared" si="27"/>
        <v>857500</v>
      </c>
      <c r="U38" s="36">
        <f t="shared" si="28"/>
        <v>857500</v>
      </c>
      <c r="V38" s="33" t="e">
        <f t="shared" si="29"/>
        <v>#N/A</v>
      </c>
      <c r="W38" s="33" t="e">
        <f t="shared" si="30"/>
        <v>#N/A</v>
      </c>
      <c r="X38" s="49" t="e">
        <f t="shared" si="31"/>
        <v>#N/A</v>
      </c>
      <c r="Y38" s="49" t="e">
        <f t="shared" si="32"/>
        <v>#N/A</v>
      </c>
      <c r="Z38" s="36" t="e">
        <f t="shared" si="33"/>
        <v>#N/A</v>
      </c>
      <c r="AA38" s="15" t="e">
        <f t="shared" si="34"/>
        <v>#N/A</v>
      </c>
      <c r="AB38" s="33" t="e">
        <f t="shared" si="35"/>
        <v>#N/A</v>
      </c>
    </row>
    <row r="39" spans="1:28" ht="13.5" x14ac:dyDescent="0.25">
      <c r="A39" s="160" t="str">
        <f t="array" ref="A39">IFERROR(INDEX('Espesor E2'!A15:A64, SMALL(IF('Espesor E2'!J15:J64&gt;=0.2, ROW('Espesor E2'!J15:J64)-ROW('Espesor E2'!A15)+1), ROW(7:7))), "N/A")</f>
        <v>N/A</v>
      </c>
      <c r="B39" s="72" t="e">
        <f>VLOOKUP($A39,'Espesor E2'!$A$9:$J$58,2,FALSE)</f>
        <v>#N/A</v>
      </c>
      <c r="C39" s="72" t="e">
        <f>VLOOKUP($A39,'Espesor E2'!$A$9:$J$58,3,FALSE)</f>
        <v>#N/A</v>
      </c>
      <c r="D39" s="32" t="e">
        <f>VLOOKUP($A39,'Espesor E2'!$A$9:$J$58,4,FALSE)</f>
        <v>#N/A</v>
      </c>
      <c r="E39" s="32" t="e">
        <f>VLOOKUP($A39,'Espesor E2'!$A$9:$J$58,5,FALSE)</f>
        <v>#N/A</v>
      </c>
      <c r="F39" s="32" t="e">
        <f>VLOOKUP($A39,'Espesor E2'!$A$9:$J$58,6,FALSE)</f>
        <v>#N/A</v>
      </c>
      <c r="G39" s="32" t="e">
        <f>VLOOKUP($A39,'Espesor E2'!$A$9:$J$58,7,FALSE)</f>
        <v>#N/A</v>
      </c>
      <c r="H39" s="32" t="e">
        <f t="shared" si="18"/>
        <v>#N/A</v>
      </c>
      <c r="I39" s="4" t="s">
        <v>52</v>
      </c>
      <c r="J39" s="33" t="e">
        <f t="shared" si="19"/>
        <v>#N/A</v>
      </c>
      <c r="K39" s="34" t="e">
        <f>VLOOKUP($A39,'Espesor E2'!$A$9:$J$58,10,FALSE)</f>
        <v>#N/A</v>
      </c>
      <c r="L39" s="34">
        <v>0.05</v>
      </c>
      <c r="M39" s="33" t="e">
        <f t="shared" si="20"/>
        <v>#N/A</v>
      </c>
      <c r="N39" s="33" t="e">
        <f t="shared" si="21"/>
        <v>#N/A</v>
      </c>
      <c r="O39" s="33" t="e">
        <f t="shared" si="22"/>
        <v>#N/A</v>
      </c>
      <c r="P39" s="33" t="e">
        <f t="shared" si="23"/>
        <v>#N/A</v>
      </c>
      <c r="Q39" s="33" t="e">
        <f t="shared" si="24"/>
        <v>#N/A</v>
      </c>
      <c r="R39" s="33" t="e">
        <f t="shared" si="25"/>
        <v>#N/A</v>
      </c>
      <c r="S39" s="35" t="e">
        <f t="shared" si="26"/>
        <v>#N/A</v>
      </c>
      <c r="T39" s="36">
        <f t="shared" si="27"/>
        <v>857500</v>
      </c>
      <c r="U39" s="36">
        <f t="shared" si="28"/>
        <v>857500</v>
      </c>
      <c r="V39" s="33" t="e">
        <f t="shared" si="29"/>
        <v>#N/A</v>
      </c>
      <c r="W39" s="33" t="e">
        <f t="shared" si="30"/>
        <v>#N/A</v>
      </c>
      <c r="X39" s="49" t="e">
        <f t="shared" si="31"/>
        <v>#N/A</v>
      </c>
      <c r="Y39" s="49" t="e">
        <f t="shared" si="32"/>
        <v>#N/A</v>
      </c>
      <c r="Z39" s="36" t="e">
        <f t="shared" si="33"/>
        <v>#N/A</v>
      </c>
      <c r="AA39" s="15" t="e">
        <f t="shared" si="34"/>
        <v>#N/A</v>
      </c>
      <c r="AB39" s="33" t="e">
        <f t="shared" si="35"/>
        <v>#N/A</v>
      </c>
    </row>
    <row r="40" spans="1:28" ht="13.5" x14ac:dyDescent="0.25">
      <c r="A40" s="160" t="str">
        <f t="array" ref="A40">IFERROR(INDEX('Espesor E2'!A16:A65, SMALL(IF('Espesor E2'!J16:J65&gt;=0.2, ROW('Espesor E2'!J16:J65)-ROW('Espesor E2'!A16)+1), ROW(8:8))), "N/A")</f>
        <v>N/A</v>
      </c>
      <c r="B40" s="72" t="e">
        <f>VLOOKUP($A40,'Espesor E2'!$A$9:$J$58,2,FALSE)</f>
        <v>#N/A</v>
      </c>
      <c r="C40" s="72" t="e">
        <f>VLOOKUP($A40,'Espesor E2'!$A$9:$J$58,3,FALSE)</f>
        <v>#N/A</v>
      </c>
      <c r="D40" s="32" t="e">
        <f>VLOOKUP($A40,'Espesor E2'!$A$9:$J$58,4,FALSE)</f>
        <v>#N/A</v>
      </c>
      <c r="E40" s="32" t="e">
        <f>VLOOKUP($A40,'Espesor E2'!$A$9:$J$58,5,FALSE)</f>
        <v>#N/A</v>
      </c>
      <c r="F40" s="32" t="e">
        <f>VLOOKUP($A40,'Espesor E2'!$A$9:$J$58,6,FALSE)</f>
        <v>#N/A</v>
      </c>
      <c r="G40" s="32" t="e">
        <f>VLOOKUP($A40,'Espesor E2'!$A$9:$J$58,7,FALSE)</f>
        <v>#N/A</v>
      </c>
      <c r="H40" s="32" t="e">
        <f t="shared" si="18"/>
        <v>#N/A</v>
      </c>
      <c r="I40" s="4" t="s">
        <v>52</v>
      </c>
      <c r="J40" s="33" t="e">
        <f t="shared" si="19"/>
        <v>#N/A</v>
      </c>
      <c r="K40" s="34" t="e">
        <f>VLOOKUP($A40,'Espesor E2'!$A$9:$J$58,10,FALSE)</f>
        <v>#N/A</v>
      </c>
      <c r="L40" s="34">
        <v>0.05</v>
      </c>
      <c r="M40" s="33" t="e">
        <f t="shared" si="20"/>
        <v>#N/A</v>
      </c>
      <c r="N40" s="33" t="e">
        <f t="shared" si="21"/>
        <v>#N/A</v>
      </c>
      <c r="O40" s="33" t="e">
        <f t="shared" si="22"/>
        <v>#N/A</v>
      </c>
      <c r="P40" s="33" t="e">
        <f t="shared" si="23"/>
        <v>#N/A</v>
      </c>
      <c r="Q40" s="33" t="e">
        <f t="shared" si="24"/>
        <v>#N/A</v>
      </c>
      <c r="R40" s="33" t="e">
        <f t="shared" si="25"/>
        <v>#N/A</v>
      </c>
      <c r="S40" s="35" t="e">
        <f t="shared" si="26"/>
        <v>#N/A</v>
      </c>
      <c r="T40" s="36">
        <f t="shared" si="27"/>
        <v>857500</v>
      </c>
      <c r="U40" s="36">
        <f t="shared" si="28"/>
        <v>857500</v>
      </c>
      <c r="V40" s="33" t="e">
        <f t="shared" si="29"/>
        <v>#N/A</v>
      </c>
      <c r="W40" s="33" t="e">
        <f t="shared" si="30"/>
        <v>#N/A</v>
      </c>
      <c r="X40" s="49" t="e">
        <f t="shared" si="31"/>
        <v>#N/A</v>
      </c>
      <c r="Y40" s="49" t="e">
        <f t="shared" si="32"/>
        <v>#N/A</v>
      </c>
      <c r="Z40" s="36" t="e">
        <f t="shared" si="33"/>
        <v>#N/A</v>
      </c>
      <c r="AA40" s="15" t="e">
        <f t="shared" si="34"/>
        <v>#N/A</v>
      </c>
      <c r="AB40" s="33" t="e">
        <f t="shared" si="35"/>
        <v>#N/A</v>
      </c>
    </row>
    <row r="41" spans="1:28" ht="13.5" x14ac:dyDescent="0.25">
      <c r="A41" s="160" t="str">
        <f t="array" ref="A41">IFERROR(INDEX('Espesor E2'!A17:A66, SMALL(IF('Espesor E2'!J17:J66&gt;=0.2, ROW('Espesor E2'!J17:J66)-ROW('Espesor E2'!A17)+1), ROW(9:9))), "N/A")</f>
        <v>N/A</v>
      </c>
      <c r="B41" s="72" t="e">
        <f>VLOOKUP($A41,'Espesor E2'!$A$9:$J$58,2,FALSE)</f>
        <v>#N/A</v>
      </c>
      <c r="C41" s="72" t="e">
        <f>VLOOKUP($A41,'Espesor E2'!$A$9:$J$58,3,FALSE)</f>
        <v>#N/A</v>
      </c>
      <c r="D41" s="32" t="e">
        <f>VLOOKUP($A41,'Espesor E2'!$A$9:$J$58,4,FALSE)</f>
        <v>#N/A</v>
      </c>
      <c r="E41" s="32" t="e">
        <f>VLOOKUP($A41,'Espesor E2'!$A$9:$J$58,5,FALSE)</f>
        <v>#N/A</v>
      </c>
      <c r="F41" s="32" t="e">
        <f>VLOOKUP($A41,'Espesor E2'!$A$9:$J$58,6,FALSE)</f>
        <v>#N/A</v>
      </c>
      <c r="G41" s="32" t="e">
        <f>VLOOKUP($A41,'Espesor E2'!$A$9:$J$58,7,FALSE)</f>
        <v>#N/A</v>
      </c>
      <c r="H41" s="32" t="e">
        <f t="shared" si="18"/>
        <v>#N/A</v>
      </c>
      <c r="I41" s="4" t="s">
        <v>52</v>
      </c>
      <c r="J41" s="33" t="e">
        <f t="shared" si="19"/>
        <v>#N/A</v>
      </c>
      <c r="K41" s="34" t="e">
        <f>VLOOKUP($A41,'Espesor E2'!$A$9:$J$58,10,FALSE)</f>
        <v>#N/A</v>
      </c>
      <c r="L41" s="34">
        <v>0.05</v>
      </c>
      <c r="M41" s="33" t="e">
        <f t="shared" si="20"/>
        <v>#N/A</v>
      </c>
      <c r="N41" s="33" t="e">
        <f t="shared" si="21"/>
        <v>#N/A</v>
      </c>
      <c r="O41" s="33" t="e">
        <f t="shared" si="22"/>
        <v>#N/A</v>
      </c>
      <c r="P41" s="33" t="e">
        <f t="shared" si="23"/>
        <v>#N/A</v>
      </c>
      <c r="Q41" s="33" t="e">
        <f t="shared" si="24"/>
        <v>#N/A</v>
      </c>
      <c r="R41" s="33" t="e">
        <f t="shared" si="25"/>
        <v>#N/A</v>
      </c>
      <c r="S41" s="35" t="e">
        <f t="shared" si="26"/>
        <v>#N/A</v>
      </c>
      <c r="T41" s="36">
        <f t="shared" si="27"/>
        <v>857500</v>
      </c>
      <c r="U41" s="36">
        <f t="shared" si="28"/>
        <v>857500</v>
      </c>
      <c r="V41" s="33" t="e">
        <f t="shared" si="29"/>
        <v>#N/A</v>
      </c>
      <c r="W41" s="33" t="e">
        <f t="shared" si="30"/>
        <v>#N/A</v>
      </c>
      <c r="X41" s="49" t="e">
        <f t="shared" si="31"/>
        <v>#N/A</v>
      </c>
      <c r="Y41" s="49" t="e">
        <f t="shared" si="32"/>
        <v>#N/A</v>
      </c>
      <c r="Z41" s="36" t="e">
        <f t="shared" si="33"/>
        <v>#N/A</v>
      </c>
      <c r="AA41" s="15" t="e">
        <f t="shared" si="34"/>
        <v>#N/A</v>
      </c>
      <c r="AB41" s="33" t="e">
        <f t="shared" si="35"/>
        <v>#N/A</v>
      </c>
    </row>
    <row r="42" spans="1:28" ht="13.5" x14ac:dyDescent="0.25">
      <c r="A42" s="160" t="str">
        <f t="array" ref="A42">IFERROR(INDEX('Espesor E2'!A18:A67, SMALL(IF('Espesor E2'!J18:J67&gt;=0.2, ROW('Espesor E2'!J18:J67)-ROW('Espesor E2'!A18)+1), ROW(10:10))), "N/A")</f>
        <v>N/A</v>
      </c>
      <c r="B42" s="72" t="e">
        <f>VLOOKUP($A42,'Espesor E2'!$A$9:$J$58,2,FALSE)</f>
        <v>#N/A</v>
      </c>
      <c r="C42" s="72" t="e">
        <f>VLOOKUP($A42,'Espesor E2'!$A$9:$J$58,3,FALSE)</f>
        <v>#N/A</v>
      </c>
      <c r="D42" s="32" t="e">
        <f>VLOOKUP($A42,'Espesor E2'!$A$9:$J$58,4,FALSE)</f>
        <v>#N/A</v>
      </c>
      <c r="E42" s="32" t="e">
        <f>VLOOKUP($A42,'Espesor E2'!$A$9:$J$58,5,FALSE)</f>
        <v>#N/A</v>
      </c>
      <c r="F42" s="32" t="e">
        <f>VLOOKUP($A42,'Espesor E2'!$A$9:$J$58,6,FALSE)</f>
        <v>#N/A</v>
      </c>
      <c r="G42" s="32" t="e">
        <f>VLOOKUP($A42,'Espesor E2'!$A$9:$J$58,7,FALSE)</f>
        <v>#N/A</v>
      </c>
      <c r="H42" s="32" t="e">
        <f t="shared" si="18"/>
        <v>#N/A</v>
      </c>
      <c r="I42" s="4" t="s">
        <v>52</v>
      </c>
      <c r="J42" s="33" t="e">
        <f t="shared" si="19"/>
        <v>#N/A</v>
      </c>
      <c r="K42" s="34" t="e">
        <f>VLOOKUP($A42,'Espesor E2'!$A$9:$J$58,10,FALSE)</f>
        <v>#N/A</v>
      </c>
      <c r="L42" s="34">
        <v>0.05</v>
      </c>
      <c r="M42" s="33" t="e">
        <f t="shared" si="20"/>
        <v>#N/A</v>
      </c>
      <c r="N42" s="33" t="e">
        <f t="shared" si="21"/>
        <v>#N/A</v>
      </c>
      <c r="O42" s="33" t="e">
        <f t="shared" si="22"/>
        <v>#N/A</v>
      </c>
      <c r="P42" s="33" t="e">
        <f t="shared" si="23"/>
        <v>#N/A</v>
      </c>
      <c r="Q42" s="33" t="e">
        <f t="shared" si="24"/>
        <v>#N/A</v>
      </c>
      <c r="R42" s="33" t="e">
        <f t="shared" si="25"/>
        <v>#N/A</v>
      </c>
      <c r="S42" s="35" t="e">
        <f t="shared" si="26"/>
        <v>#N/A</v>
      </c>
      <c r="T42" s="36">
        <f t="shared" si="27"/>
        <v>857500</v>
      </c>
      <c r="U42" s="36">
        <f t="shared" si="28"/>
        <v>857500</v>
      </c>
      <c r="V42" s="33" t="e">
        <f t="shared" si="29"/>
        <v>#N/A</v>
      </c>
      <c r="W42" s="33" t="e">
        <f t="shared" si="30"/>
        <v>#N/A</v>
      </c>
      <c r="X42" s="49" t="e">
        <f t="shared" si="31"/>
        <v>#N/A</v>
      </c>
      <c r="Y42" s="49" t="e">
        <f t="shared" si="32"/>
        <v>#N/A</v>
      </c>
      <c r="Z42" s="36" t="e">
        <f t="shared" si="33"/>
        <v>#N/A</v>
      </c>
      <c r="AA42" s="15" t="e">
        <f t="shared" si="34"/>
        <v>#N/A</v>
      </c>
      <c r="AB42" s="33" t="e">
        <f t="shared" si="35"/>
        <v>#N/A</v>
      </c>
    </row>
    <row r="43" spans="1:28" ht="13.5" x14ac:dyDescent="0.25">
      <c r="A43" s="160" t="str">
        <f t="array" ref="A43">IFERROR(INDEX('Espesor E2'!A19:A68, SMALL(IF('Espesor E2'!J19:J68&gt;=0.2, ROW('Espesor E2'!J19:J68)-ROW('Espesor E2'!A19)+1), ROW(11:11))), "N/A")</f>
        <v>N/A</v>
      </c>
      <c r="B43" s="72" t="e">
        <f>VLOOKUP($A43,'Espesor E2'!$A$9:$J$58,2,FALSE)</f>
        <v>#N/A</v>
      </c>
      <c r="C43" s="72" t="e">
        <f>VLOOKUP($A43,'Espesor E2'!$A$9:$J$58,3,FALSE)</f>
        <v>#N/A</v>
      </c>
      <c r="D43" s="32" t="e">
        <f>VLOOKUP($A43,'Espesor E2'!$A$9:$J$58,4,FALSE)</f>
        <v>#N/A</v>
      </c>
      <c r="E43" s="32" t="e">
        <f>VLOOKUP($A43,'Espesor E2'!$A$9:$J$58,5,FALSE)</f>
        <v>#N/A</v>
      </c>
      <c r="F43" s="32" t="e">
        <f>VLOOKUP($A43,'Espesor E2'!$A$9:$J$58,6,FALSE)</f>
        <v>#N/A</v>
      </c>
      <c r="G43" s="32" t="e">
        <f>VLOOKUP($A43,'Espesor E2'!$A$9:$J$58,7,FALSE)</f>
        <v>#N/A</v>
      </c>
      <c r="H43" s="32" t="e">
        <f t="shared" si="18"/>
        <v>#N/A</v>
      </c>
      <c r="I43" s="4" t="s">
        <v>52</v>
      </c>
      <c r="J43" s="33" t="e">
        <f t="shared" si="19"/>
        <v>#N/A</v>
      </c>
      <c r="K43" s="34" t="e">
        <f>VLOOKUP($A43,'Espesor E2'!$A$9:$J$58,10,FALSE)</f>
        <v>#N/A</v>
      </c>
      <c r="L43" s="34">
        <v>0.05</v>
      </c>
      <c r="M43" s="33" t="e">
        <f t="shared" si="20"/>
        <v>#N/A</v>
      </c>
      <c r="N43" s="33" t="e">
        <f t="shared" si="21"/>
        <v>#N/A</v>
      </c>
      <c r="O43" s="33" t="e">
        <f t="shared" si="22"/>
        <v>#N/A</v>
      </c>
      <c r="P43" s="33" t="e">
        <f t="shared" si="23"/>
        <v>#N/A</v>
      </c>
      <c r="Q43" s="33" t="e">
        <f t="shared" si="24"/>
        <v>#N/A</v>
      </c>
      <c r="R43" s="33" t="e">
        <f t="shared" si="25"/>
        <v>#N/A</v>
      </c>
      <c r="S43" s="35" t="e">
        <f t="shared" si="26"/>
        <v>#N/A</v>
      </c>
      <c r="T43" s="36">
        <f t="shared" si="27"/>
        <v>857500</v>
      </c>
      <c r="U43" s="36">
        <f t="shared" si="28"/>
        <v>857500</v>
      </c>
      <c r="V43" s="33" t="e">
        <f t="shared" si="29"/>
        <v>#N/A</v>
      </c>
      <c r="W43" s="33" t="e">
        <f t="shared" si="30"/>
        <v>#N/A</v>
      </c>
      <c r="X43" s="49" t="e">
        <f t="shared" si="31"/>
        <v>#N/A</v>
      </c>
      <c r="Y43" s="49" t="e">
        <f t="shared" si="32"/>
        <v>#N/A</v>
      </c>
      <c r="Z43" s="36" t="e">
        <f t="shared" si="33"/>
        <v>#N/A</v>
      </c>
      <c r="AA43" s="15" t="e">
        <f t="shared" si="34"/>
        <v>#N/A</v>
      </c>
      <c r="AB43" s="33" t="e">
        <f t="shared" si="35"/>
        <v>#N/A</v>
      </c>
    </row>
    <row r="44" spans="1:28" ht="13.5" x14ac:dyDescent="0.25">
      <c r="A44" s="160" t="str">
        <f t="array" ref="A44">IFERROR(INDEX('Espesor E2'!A20:A69, SMALL(IF('Espesor E2'!J20:J69&gt;=0.2, ROW('Espesor E2'!J20:J69)-ROW('Espesor E2'!A20)+1), ROW(12:12))), "N/A")</f>
        <v>N/A</v>
      </c>
      <c r="B44" s="72" t="e">
        <f>VLOOKUP($A44,'Espesor E2'!$A$9:$J$58,2,FALSE)</f>
        <v>#N/A</v>
      </c>
      <c r="C44" s="72" t="e">
        <f>VLOOKUP($A44,'Espesor E2'!$A$9:$J$58,3,FALSE)</f>
        <v>#N/A</v>
      </c>
      <c r="D44" s="32" t="e">
        <f>VLOOKUP($A44,'Espesor E2'!$A$9:$J$58,4,FALSE)</f>
        <v>#N/A</v>
      </c>
      <c r="E44" s="32" t="e">
        <f>VLOOKUP($A44,'Espesor E2'!$A$9:$J$58,5,FALSE)</f>
        <v>#N/A</v>
      </c>
      <c r="F44" s="32" t="e">
        <f>VLOOKUP($A44,'Espesor E2'!$A$9:$J$58,6,FALSE)</f>
        <v>#N/A</v>
      </c>
      <c r="G44" s="32" t="e">
        <f>VLOOKUP($A44,'Espesor E2'!$A$9:$J$58,7,FALSE)</f>
        <v>#N/A</v>
      </c>
      <c r="H44" s="32" t="e">
        <f t="shared" si="18"/>
        <v>#N/A</v>
      </c>
      <c r="I44" s="4" t="s">
        <v>52</v>
      </c>
      <c r="J44" s="33" t="e">
        <f t="shared" si="19"/>
        <v>#N/A</v>
      </c>
      <c r="K44" s="34" t="e">
        <f>VLOOKUP($A44,'Espesor E2'!$A$9:$J$58,10,FALSE)</f>
        <v>#N/A</v>
      </c>
      <c r="L44" s="34">
        <v>0.05</v>
      </c>
      <c r="M44" s="33" t="e">
        <f t="shared" si="20"/>
        <v>#N/A</v>
      </c>
      <c r="N44" s="33" t="e">
        <f t="shared" si="21"/>
        <v>#N/A</v>
      </c>
      <c r="O44" s="33" t="e">
        <f t="shared" si="22"/>
        <v>#N/A</v>
      </c>
      <c r="P44" s="33" t="e">
        <f t="shared" si="23"/>
        <v>#N/A</v>
      </c>
      <c r="Q44" s="33" t="e">
        <f t="shared" si="24"/>
        <v>#N/A</v>
      </c>
      <c r="R44" s="33" t="e">
        <f t="shared" si="25"/>
        <v>#N/A</v>
      </c>
      <c r="S44" s="35" t="e">
        <f t="shared" si="26"/>
        <v>#N/A</v>
      </c>
      <c r="T44" s="36">
        <f t="shared" si="27"/>
        <v>857500</v>
      </c>
      <c r="U44" s="36">
        <f t="shared" si="28"/>
        <v>857500</v>
      </c>
      <c r="V44" s="33" t="e">
        <f t="shared" si="29"/>
        <v>#N/A</v>
      </c>
      <c r="W44" s="33" t="e">
        <f t="shared" si="30"/>
        <v>#N/A</v>
      </c>
      <c r="X44" s="49" t="e">
        <f t="shared" si="31"/>
        <v>#N/A</v>
      </c>
      <c r="Y44" s="49" t="e">
        <f t="shared" si="32"/>
        <v>#N/A</v>
      </c>
      <c r="Z44" s="36" t="e">
        <f t="shared" si="33"/>
        <v>#N/A</v>
      </c>
      <c r="AA44" s="15" t="e">
        <f t="shared" si="34"/>
        <v>#N/A</v>
      </c>
      <c r="AB44" s="33" t="e">
        <f t="shared" si="35"/>
        <v>#N/A</v>
      </c>
    </row>
    <row r="45" spans="1:28" ht="13.5" x14ac:dyDescent="0.25">
      <c r="A45" s="160" t="str">
        <f t="array" ref="A45">IFERROR(INDEX('Espesor E2'!A21:A70, SMALL(IF('Espesor E2'!J21:J70&gt;=0.2, ROW('Espesor E2'!J21:J70)-ROW('Espesor E2'!A21)+1), ROW(13:13))), "N/A")</f>
        <v>N/A</v>
      </c>
      <c r="B45" s="72" t="e">
        <f>VLOOKUP($A45,'Espesor E2'!$A$9:$J$58,2,FALSE)</f>
        <v>#N/A</v>
      </c>
      <c r="C45" s="72" t="e">
        <f>VLOOKUP($A45,'Espesor E2'!$A$9:$J$58,3,FALSE)</f>
        <v>#N/A</v>
      </c>
      <c r="D45" s="32" t="e">
        <f>VLOOKUP($A45,'Espesor E2'!$A$9:$J$58,4,FALSE)</f>
        <v>#N/A</v>
      </c>
      <c r="E45" s="32" t="e">
        <f>VLOOKUP($A45,'Espesor E2'!$A$9:$J$58,5,FALSE)</f>
        <v>#N/A</v>
      </c>
      <c r="F45" s="32" t="e">
        <f>VLOOKUP($A45,'Espesor E2'!$A$9:$J$58,6,FALSE)</f>
        <v>#N/A</v>
      </c>
      <c r="G45" s="32" t="e">
        <f>VLOOKUP($A45,'Espesor E2'!$A$9:$J$58,7,FALSE)</f>
        <v>#N/A</v>
      </c>
      <c r="H45" s="32" t="e">
        <f t="shared" si="18"/>
        <v>#N/A</v>
      </c>
      <c r="I45" s="4" t="s">
        <v>52</v>
      </c>
      <c r="J45" s="33" t="e">
        <f t="shared" si="19"/>
        <v>#N/A</v>
      </c>
      <c r="K45" s="34" t="e">
        <f>VLOOKUP($A45,'Espesor E2'!$A$9:$J$58,10,FALSE)</f>
        <v>#N/A</v>
      </c>
      <c r="L45" s="34">
        <v>0.05</v>
      </c>
      <c r="M45" s="33" t="e">
        <f t="shared" si="20"/>
        <v>#N/A</v>
      </c>
      <c r="N45" s="33" t="e">
        <f t="shared" si="21"/>
        <v>#N/A</v>
      </c>
      <c r="O45" s="33" t="e">
        <f t="shared" si="22"/>
        <v>#N/A</v>
      </c>
      <c r="P45" s="33" t="e">
        <f t="shared" si="23"/>
        <v>#N/A</v>
      </c>
      <c r="Q45" s="33" t="e">
        <f t="shared" si="24"/>
        <v>#N/A</v>
      </c>
      <c r="R45" s="33" t="e">
        <f t="shared" si="25"/>
        <v>#N/A</v>
      </c>
      <c r="S45" s="35" t="e">
        <f t="shared" si="26"/>
        <v>#N/A</v>
      </c>
      <c r="T45" s="36">
        <f t="shared" si="27"/>
        <v>857500</v>
      </c>
      <c r="U45" s="36">
        <f t="shared" si="28"/>
        <v>857500</v>
      </c>
      <c r="V45" s="33" t="e">
        <f t="shared" si="29"/>
        <v>#N/A</v>
      </c>
      <c r="W45" s="33" t="e">
        <f t="shared" si="30"/>
        <v>#N/A</v>
      </c>
      <c r="X45" s="49" t="e">
        <f t="shared" si="31"/>
        <v>#N/A</v>
      </c>
      <c r="Y45" s="49" t="e">
        <f t="shared" si="32"/>
        <v>#N/A</v>
      </c>
      <c r="Z45" s="36" t="e">
        <f t="shared" si="33"/>
        <v>#N/A</v>
      </c>
      <c r="AA45" s="15" t="e">
        <f t="shared" si="34"/>
        <v>#N/A</v>
      </c>
      <c r="AB45" s="33" t="e">
        <f t="shared" si="35"/>
        <v>#N/A</v>
      </c>
    </row>
    <row r="46" spans="1:28" ht="13.5" x14ac:dyDescent="0.25">
      <c r="A46" s="160" t="str">
        <f t="array" ref="A46">IFERROR(INDEX('Espesor E2'!A22:A71, SMALL(IF('Espesor E2'!J22:J71&gt;=0.2, ROW('Espesor E2'!J22:J71)-ROW('Espesor E2'!A22)+1), ROW(14:14))), "N/A")</f>
        <v>N/A</v>
      </c>
      <c r="B46" s="72" t="e">
        <f>VLOOKUP($A46,'Espesor E2'!$A$9:$J$58,2,FALSE)</f>
        <v>#N/A</v>
      </c>
      <c r="C46" s="72" t="e">
        <f>VLOOKUP($A46,'Espesor E2'!$A$9:$J$58,3,FALSE)</f>
        <v>#N/A</v>
      </c>
      <c r="D46" s="32" t="e">
        <f>VLOOKUP($A46,'Espesor E2'!$A$9:$J$58,4,FALSE)</f>
        <v>#N/A</v>
      </c>
      <c r="E46" s="32" t="e">
        <f>VLOOKUP($A46,'Espesor E2'!$A$9:$J$58,5,FALSE)</f>
        <v>#N/A</v>
      </c>
      <c r="F46" s="32" t="e">
        <f>VLOOKUP($A46,'Espesor E2'!$A$9:$J$58,6,FALSE)</f>
        <v>#N/A</v>
      </c>
      <c r="G46" s="32" t="e">
        <f>VLOOKUP($A46,'Espesor E2'!$A$9:$J$58,7,FALSE)</f>
        <v>#N/A</v>
      </c>
      <c r="H46" s="32" t="e">
        <f t="shared" si="18"/>
        <v>#N/A</v>
      </c>
      <c r="I46" s="4" t="s">
        <v>52</v>
      </c>
      <c r="J46" s="33" t="e">
        <f t="shared" si="19"/>
        <v>#N/A</v>
      </c>
      <c r="K46" s="34" t="e">
        <f>VLOOKUP($A46,'Espesor E2'!$A$9:$J$58,10,FALSE)</f>
        <v>#N/A</v>
      </c>
      <c r="L46" s="34">
        <v>0.05</v>
      </c>
      <c r="M46" s="33" t="e">
        <f t="shared" si="20"/>
        <v>#N/A</v>
      </c>
      <c r="N46" s="33" t="e">
        <f t="shared" si="21"/>
        <v>#N/A</v>
      </c>
      <c r="O46" s="33" t="e">
        <f t="shared" si="22"/>
        <v>#N/A</v>
      </c>
      <c r="P46" s="33" t="e">
        <f t="shared" si="23"/>
        <v>#N/A</v>
      </c>
      <c r="Q46" s="33" t="e">
        <f t="shared" si="24"/>
        <v>#N/A</v>
      </c>
      <c r="R46" s="33" t="e">
        <f t="shared" si="25"/>
        <v>#N/A</v>
      </c>
      <c r="S46" s="35" t="e">
        <f t="shared" si="26"/>
        <v>#N/A</v>
      </c>
      <c r="T46" s="36">
        <f t="shared" si="27"/>
        <v>857500</v>
      </c>
      <c r="U46" s="36">
        <f t="shared" si="28"/>
        <v>857500</v>
      </c>
      <c r="V46" s="33" t="e">
        <f t="shared" si="29"/>
        <v>#N/A</v>
      </c>
      <c r="W46" s="33" t="e">
        <f t="shared" si="30"/>
        <v>#N/A</v>
      </c>
      <c r="X46" s="49" t="e">
        <f t="shared" si="31"/>
        <v>#N/A</v>
      </c>
      <c r="Y46" s="49" t="e">
        <f t="shared" si="32"/>
        <v>#N/A</v>
      </c>
      <c r="Z46" s="36" t="e">
        <f t="shared" si="33"/>
        <v>#N/A</v>
      </c>
      <c r="AA46" s="15" t="e">
        <f t="shared" si="34"/>
        <v>#N/A</v>
      </c>
      <c r="AB46" s="33" t="e">
        <f t="shared" si="35"/>
        <v>#N/A</v>
      </c>
    </row>
    <row r="47" spans="1:28" ht="13.5" x14ac:dyDescent="0.25">
      <c r="A47" s="160" t="str">
        <f t="array" ref="A47">IFERROR(INDEX('Espesor E2'!A23:A72, SMALL(IF('Espesor E2'!J23:J72&gt;=0.2, ROW('Espesor E2'!J23:J72)-ROW('Espesor E2'!A23)+1), ROW(15:15))), "N/A")</f>
        <v>N/A</v>
      </c>
      <c r="B47" s="72" t="e">
        <f>VLOOKUP($A47,'Espesor E2'!$A$9:$J$58,2,FALSE)</f>
        <v>#N/A</v>
      </c>
      <c r="C47" s="72" t="e">
        <f>VLOOKUP($A47,'Espesor E2'!$A$9:$J$58,3,FALSE)</f>
        <v>#N/A</v>
      </c>
      <c r="D47" s="32" t="e">
        <f>VLOOKUP($A47,'Espesor E2'!$A$9:$J$58,4,FALSE)</f>
        <v>#N/A</v>
      </c>
      <c r="E47" s="32" t="e">
        <f>VLOOKUP($A47,'Espesor E2'!$A$9:$J$58,5,FALSE)</f>
        <v>#N/A</v>
      </c>
      <c r="F47" s="32" t="e">
        <f>VLOOKUP($A47,'Espesor E2'!$A$9:$J$58,6,FALSE)</f>
        <v>#N/A</v>
      </c>
      <c r="G47" s="32" t="e">
        <f>VLOOKUP($A47,'Espesor E2'!$A$9:$J$58,7,FALSE)</f>
        <v>#N/A</v>
      </c>
      <c r="H47" s="32" t="e">
        <f t="shared" si="18"/>
        <v>#N/A</v>
      </c>
      <c r="I47" s="4" t="s">
        <v>52</v>
      </c>
      <c r="J47" s="33" t="e">
        <f t="shared" si="19"/>
        <v>#N/A</v>
      </c>
      <c r="K47" s="34" t="e">
        <f>VLOOKUP($A47,'Espesor E2'!$A$9:$J$58,10,FALSE)</f>
        <v>#N/A</v>
      </c>
      <c r="L47" s="34">
        <v>0.05</v>
      </c>
      <c r="M47" s="33" t="e">
        <f t="shared" si="20"/>
        <v>#N/A</v>
      </c>
      <c r="N47" s="33" t="e">
        <f t="shared" si="21"/>
        <v>#N/A</v>
      </c>
      <c r="O47" s="33" t="e">
        <f t="shared" si="22"/>
        <v>#N/A</v>
      </c>
      <c r="P47" s="33" t="e">
        <f t="shared" si="23"/>
        <v>#N/A</v>
      </c>
      <c r="Q47" s="33" t="e">
        <f t="shared" si="24"/>
        <v>#N/A</v>
      </c>
      <c r="R47" s="33" t="e">
        <f t="shared" si="25"/>
        <v>#N/A</v>
      </c>
      <c r="S47" s="35" t="e">
        <f t="shared" si="26"/>
        <v>#N/A</v>
      </c>
      <c r="T47" s="36">
        <f t="shared" si="27"/>
        <v>857500</v>
      </c>
      <c r="U47" s="36">
        <f t="shared" si="28"/>
        <v>857500</v>
      </c>
      <c r="V47" s="33" t="e">
        <f t="shared" si="29"/>
        <v>#N/A</v>
      </c>
      <c r="W47" s="33" t="e">
        <f t="shared" si="30"/>
        <v>#N/A</v>
      </c>
      <c r="X47" s="49" t="e">
        <f t="shared" si="31"/>
        <v>#N/A</v>
      </c>
      <c r="Y47" s="49" t="e">
        <f t="shared" si="32"/>
        <v>#N/A</v>
      </c>
      <c r="Z47" s="36" t="e">
        <f t="shared" si="33"/>
        <v>#N/A</v>
      </c>
      <c r="AA47" s="15" t="e">
        <f t="shared" si="34"/>
        <v>#N/A</v>
      </c>
      <c r="AB47" s="33" t="e">
        <f t="shared" si="35"/>
        <v>#N/A</v>
      </c>
    </row>
    <row r="48" spans="1:28" ht="13.5" x14ac:dyDescent="0.25">
      <c r="A48" s="160" t="str">
        <f t="array" ref="A48">IFERROR(INDEX('Espesor E2'!A24:A73, SMALL(IF('Espesor E2'!J24:J73&gt;=0.2, ROW('Espesor E2'!J24:J73)-ROW('Espesor E2'!A24)+1), ROW(16:16))), "N/A")</f>
        <v>N/A</v>
      </c>
      <c r="B48" s="72" t="e">
        <f>VLOOKUP($A48,'Espesor E2'!$A$9:$J$58,2,FALSE)</f>
        <v>#N/A</v>
      </c>
      <c r="C48" s="72" t="e">
        <f>VLOOKUP($A48,'Espesor E2'!$A$9:$J$58,3,FALSE)</f>
        <v>#N/A</v>
      </c>
      <c r="D48" s="32" t="e">
        <f>VLOOKUP($A48,'Espesor E2'!$A$9:$J$58,4,FALSE)</f>
        <v>#N/A</v>
      </c>
      <c r="E48" s="32" t="e">
        <f>VLOOKUP($A48,'Espesor E2'!$A$9:$J$58,5,FALSE)</f>
        <v>#N/A</v>
      </c>
      <c r="F48" s="32" t="e">
        <f>VLOOKUP($A48,'Espesor E2'!$A$9:$J$58,6,FALSE)</f>
        <v>#N/A</v>
      </c>
      <c r="G48" s="32" t="e">
        <f>VLOOKUP($A48,'Espesor E2'!$A$9:$J$58,7,FALSE)</f>
        <v>#N/A</v>
      </c>
      <c r="H48" s="32" t="e">
        <f t="shared" si="18"/>
        <v>#N/A</v>
      </c>
      <c r="I48" s="4" t="s">
        <v>52</v>
      </c>
      <c r="J48" s="33" t="e">
        <f t="shared" si="19"/>
        <v>#N/A</v>
      </c>
      <c r="K48" s="34" t="e">
        <f>VLOOKUP($A48,'Espesor E2'!$A$9:$J$58,10,FALSE)</f>
        <v>#N/A</v>
      </c>
      <c r="L48" s="34">
        <v>0.05</v>
      </c>
      <c r="M48" s="33" t="e">
        <f t="shared" si="20"/>
        <v>#N/A</v>
      </c>
      <c r="N48" s="33" t="e">
        <f t="shared" si="21"/>
        <v>#N/A</v>
      </c>
      <c r="O48" s="33" t="e">
        <f t="shared" si="22"/>
        <v>#N/A</v>
      </c>
      <c r="P48" s="33" t="e">
        <f t="shared" si="23"/>
        <v>#N/A</v>
      </c>
      <c r="Q48" s="33" t="e">
        <f t="shared" si="24"/>
        <v>#N/A</v>
      </c>
      <c r="R48" s="33" t="e">
        <f t="shared" si="25"/>
        <v>#N/A</v>
      </c>
      <c r="S48" s="35" t="e">
        <f t="shared" si="26"/>
        <v>#N/A</v>
      </c>
      <c r="T48" s="36">
        <f t="shared" si="27"/>
        <v>857500</v>
      </c>
      <c r="U48" s="36">
        <f t="shared" si="28"/>
        <v>857500</v>
      </c>
      <c r="V48" s="33" t="e">
        <f t="shared" si="29"/>
        <v>#N/A</v>
      </c>
      <c r="W48" s="33" t="e">
        <f t="shared" si="30"/>
        <v>#N/A</v>
      </c>
      <c r="X48" s="49" t="e">
        <f t="shared" si="31"/>
        <v>#N/A</v>
      </c>
      <c r="Y48" s="49" t="e">
        <f t="shared" si="32"/>
        <v>#N/A</v>
      </c>
      <c r="Z48" s="36" t="e">
        <f t="shared" si="33"/>
        <v>#N/A</v>
      </c>
      <c r="AA48" s="15" t="e">
        <f t="shared" si="34"/>
        <v>#N/A</v>
      </c>
      <c r="AB48" s="33" t="e">
        <f t="shared" si="35"/>
        <v>#N/A</v>
      </c>
    </row>
    <row r="49" spans="1:28" ht="13.5" x14ac:dyDescent="0.25">
      <c r="A49" s="160" t="str">
        <f t="array" ref="A49">IFERROR(INDEX('Espesor E2'!A25:A74, SMALL(IF('Espesor E2'!J25:J74&gt;=0.2, ROW('Espesor E2'!J25:J74)-ROW('Espesor E2'!A25)+1), ROW(17:17))), "N/A")</f>
        <v>N/A</v>
      </c>
      <c r="B49" s="72" t="e">
        <f>VLOOKUP($A49,'Espesor E2'!$A$9:$J$58,2,FALSE)</f>
        <v>#N/A</v>
      </c>
      <c r="C49" s="72" t="e">
        <f>VLOOKUP($A49,'Espesor E2'!$A$9:$J$58,3,FALSE)</f>
        <v>#N/A</v>
      </c>
      <c r="D49" s="32" t="e">
        <f>VLOOKUP($A49,'Espesor E2'!$A$9:$J$58,4,FALSE)</f>
        <v>#N/A</v>
      </c>
      <c r="E49" s="32" t="e">
        <f>VLOOKUP($A49,'Espesor E2'!$A$9:$J$58,5,FALSE)</f>
        <v>#N/A</v>
      </c>
      <c r="F49" s="32" t="e">
        <f>VLOOKUP($A49,'Espesor E2'!$A$9:$J$58,6,FALSE)</f>
        <v>#N/A</v>
      </c>
      <c r="G49" s="32" t="e">
        <f>VLOOKUP($A49,'Espesor E2'!$A$9:$J$58,7,FALSE)</f>
        <v>#N/A</v>
      </c>
      <c r="H49" s="32" t="e">
        <f t="shared" si="18"/>
        <v>#N/A</v>
      </c>
      <c r="I49" s="4" t="s">
        <v>52</v>
      </c>
      <c r="J49" s="33" t="e">
        <f t="shared" si="19"/>
        <v>#N/A</v>
      </c>
      <c r="K49" s="34" t="e">
        <f>VLOOKUP($A49,'Espesor E2'!$A$9:$J$58,10,FALSE)</f>
        <v>#N/A</v>
      </c>
      <c r="L49" s="34">
        <v>0.05</v>
      </c>
      <c r="M49" s="33" t="e">
        <f t="shared" si="20"/>
        <v>#N/A</v>
      </c>
      <c r="N49" s="33" t="e">
        <f t="shared" si="21"/>
        <v>#N/A</v>
      </c>
      <c r="O49" s="33" t="e">
        <f t="shared" si="22"/>
        <v>#N/A</v>
      </c>
      <c r="P49" s="33" t="e">
        <f t="shared" si="23"/>
        <v>#N/A</v>
      </c>
      <c r="Q49" s="33" t="e">
        <f t="shared" si="24"/>
        <v>#N/A</v>
      </c>
      <c r="R49" s="33" t="e">
        <f t="shared" si="25"/>
        <v>#N/A</v>
      </c>
      <c r="S49" s="35" t="e">
        <f t="shared" si="26"/>
        <v>#N/A</v>
      </c>
      <c r="T49" s="36">
        <f t="shared" si="27"/>
        <v>857500</v>
      </c>
      <c r="U49" s="36">
        <f t="shared" si="28"/>
        <v>857500</v>
      </c>
      <c r="V49" s="33" t="e">
        <f t="shared" si="29"/>
        <v>#N/A</v>
      </c>
      <c r="W49" s="33" t="e">
        <f t="shared" si="30"/>
        <v>#N/A</v>
      </c>
      <c r="X49" s="49" t="e">
        <f t="shared" si="31"/>
        <v>#N/A</v>
      </c>
      <c r="Y49" s="49" t="e">
        <f t="shared" si="32"/>
        <v>#N/A</v>
      </c>
      <c r="Z49" s="36" t="e">
        <f t="shared" si="33"/>
        <v>#N/A</v>
      </c>
      <c r="AA49" s="15" t="e">
        <f t="shared" si="34"/>
        <v>#N/A</v>
      </c>
      <c r="AB49" s="33" t="e">
        <f t="shared" si="35"/>
        <v>#N/A</v>
      </c>
    </row>
    <row r="50" spans="1:28" ht="13.5" x14ac:dyDescent="0.25">
      <c r="A50" s="160" t="str">
        <f t="array" ref="A50">IFERROR(INDEX('Espesor E2'!A26:A75, SMALL(IF('Espesor E2'!J26:J75&gt;=0.2, ROW('Espesor E2'!J26:J75)-ROW('Espesor E2'!A26)+1), ROW(18:18))), "N/A")</f>
        <v>N/A</v>
      </c>
      <c r="B50" s="72" t="e">
        <f>VLOOKUP($A50,'Espesor E2'!$A$9:$J$58,2,FALSE)</f>
        <v>#N/A</v>
      </c>
      <c r="C50" s="72" t="e">
        <f>VLOOKUP($A50,'Espesor E2'!$A$9:$J$58,3,FALSE)</f>
        <v>#N/A</v>
      </c>
      <c r="D50" s="32" t="e">
        <f>VLOOKUP($A50,'Espesor E2'!$A$9:$J$58,4,FALSE)</f>
        <v>#N/A</v>
      </c>
      <c r="E50" s="32" t="e">
        <f>VLOOKUP($A50,'Espesor E2'!$A$9:$J$58,5,FALSE)</f>
        <v>#N/A</v>
      </c>
      <c r="F50" s="32" t="e">
        <f>VLOOKUP($A50,'Espesor E2'!$A$9:$J$58,6,FALSE)</f>
        <v>#N/A</v>
      </c>
      <c r="G50" s="32" t="e">
        <f>VLOOKUP($A50,'Espesor E2'!$A$9:$J$58,7,FALSE)</f>
        <v>#N/A</v>
      </c>
      <c r="H50" s="32" t="e">
        <f t="shared" si="18"/>
        <v>#N/A</v>
      </c>
      <c r="I50" s="4" t="s">
        <v>52</v>
      </c>
      <c r="J50" s="33" t="e">
        <f t="shared" si="19"/>
        <v>#N/A</v>
      </c>
      <c r="K50" s="34" t="e">
        <f>VLOOKUP($A50,'Espesor E2'!$A$9:$J$58,10,FALSE)</f>
        <v>#N/A</v>
      </c>
      <c r="L50" s="34">
        <v>0.05</v>
      </c>
      <c r="M50" s="33" t="e">
        <f t="shared" si="20"/>
        <v>#N/A</v>
      </c>
      <c r="N50" s="33" t="e">
        <f t="shared" si="21"/>
        <v>#N/A</v>
      </c>
      <c r="O50" s="33" t="e">
        <f t="shared" si="22"/>
        <v>#N/A</v>
      </c>
      <c r="P50" s="33" t="e">
        <f t="shared" si="23"/>
        <v>#N/A</v>
      </c>
      <c r="Q50" s="33" t="e">
        <f t="shared" si="24"/>
        <v>#N/A</v>
      </c>
      <c r="R50" s="33" t="e">
        <f t="shared" si="25"/>
        <v>#N/A</v>
      </c>
      <c r="S50" s="35" t="e">
        <f t="shared" si="26"/>
        <v>#N/A</v>
      </c>
      <c r="T50" s="36">
        <f t="shared" si="27"/>
        <v>857500</v>
      </c>
      <c r="U50" s="36">
        <f t="shared" si="28"/>
        <v>857500</v>
      </c>
      <c r="V50" s="33" t="e">
        <f t="shared" si="29"/>
        <v>#N/A</v>
      </c>
      <c r="W50" s="33" t="e">
        <f t="shared" si="30"/>
        <v>#N/A</v>
      </c>
      <c r="X50" s="49" t="e">
        <f t="shared" si="31"/>
        <v>#N/A</v>
      </c>
      <c r="Y50" s="49" t="e">
        <f t="shared" si="32"/>
        <v>#N/A</v>
      </c>
      <c r="Z50" s="36" t="e">
        <f t="shared" si="33"/>
        <v>#N/A</v>
      </c>
      <c r="AA50" s="15" t="e">
        <f t="shared" si="34"/>
        <v>#N/A</v>
      </c>
      <c r="AB50" s="33" t="e">
        <f t="shared" si="35"/>
        <v>#N/A</v>
      </c>
    </row>
    <row r="51" spans="1:28" ht="13.5" x14ac:dyDescent="0.25">
      <c r="A51" s="160" t="str">
        <f t="array" ref="A51">IFERROR(INDEX('Espesor E2'!A27:A76, SMALL(IF('Espesor E2'!J27:J76&gt;=0.2, ROW('Espesor E2'!J27:J76)-ROW('Espesor E2'!A27)+1), ROW(19:19))), "N/A")</f>
        <v>N/A</v>
      </c>
      <c r="B51" s="72" t="e">
        <f>VLOOKUP($A51,'Espesor E2'!$A$9:$J$58,2,FALSE)</f>
        <v>#N/A</v>
      </c>
      <c r="C51" s="72" t="e">
        <f>VLOOKUP($A51,'Espesor E2'!$A$9:$J$58,3,FALSE)</f>
        <v>#N/A</v>
      </c>
      <c r="D51" s="32" t="e">
        <f>VLOOKUP($A51,'Espesor E2'!$A$9:$J$58,4,FALSE)</f>
        <v>#N/A</v>
      </c>
      <c r="E51" s="32" t="e">
        <f>VLOOKUP($A51,'Espesor E2'!$A$9:$J$58,5,FALSE)</f>
        <v>#N/A</v>
      </c>
      <c r="F51" s="32" t="e">
        <f>VLOOKUP($A51,'Espesor E2'!$A$9:$J$58,6,FALSE)</f>
        <v>#N/A</v>
      </c>
      <c r="G51" s="32" t="e">
        <f>VLOOKUP($A51,'Espesor E2'!$A$9:$J$58,7,FALSE)</f>
        <v>#N/A</v>
      </c>
      <c r="H51" s="32" t="e">
        <f t="shared" si="18"/>
        <v>#N/A</v>
      </c>
      <c r="I51" s="4" t="s">
        <v>52</v>
      </c>
      <c r="J51" s="33" t="e">
        <f t="shared" si="19"/>
        <v>#N/A</v>
      </c>
      <c r="K51" s="34" t="e">
        <f>VLOOKUP($A51,'Espesor E2'!$A$9:$J$58,10,FALSE)</f>
        <v>#N/A</v>
      </c>
      <c r="L51" s="34">
        <v>0.05</v>
      </c>
      <c r="M51" s="33" t="e">
        <f t="shared" si="20"/>
        <v>#N/A</v>
      </c>
      <c r="N51" s="33" t="e">
        <f t="shared" si="21"/>
        <v>#N/A</v>
      </c>
      <c r="O51" s="33" t="e">
        <f t="shared" si="22"/>
        <v>#N/A</v>
      </c>
      <c r="P51" s="33" t="e">
        <f t="shared" si="23"/>
        <v>#N/A</v>
      </c>
      <c r="Q51" s="33" t="e">
        <f t="shared" si="24"/>
        <v>#N/A</v>
      </c>
      <c r="R51" s="33" t="e">
        <f t="shared" si="25"/>
        <v>#N/A</v>
      </c>
      <c r="S51" s="35" t="e">
        <f t="shared" si="26"/>
        <v>#N/A</v>
      </c>
      <c r="T51" s="36">
        <f t="shared" si="27"/>
        <v>857500</v>
      </c>
      <c r="U51" s="36">
        <f t="shared" si="28"/>
        <v>857500</v>
      </c>
      <c r="V51" s="33" t="e">
        <f t="shared" si="29"/>
        <v>#N/A</v>
      </c>
      <c r="W51" s="33" t="e">
        <f t="shared" si="30"/>
        <v>#N/A</v>
      </c>
      <c r="X51" s="49" t="e">
        <f t="shared" si="31"/>
        <v>#N/A</v>
      </c>
      <c r="Y51" s="49" t="e">
        <f t="shared" si="32"/>
        <v>#N/A</v>
      </c>
      <c r="Z51" s="36" t="e">
        <f t="shared" si="33"/>
        <v>#N/A</v>
      </c>
      <c r="AA51" s="15" t="e">
        <f t="shared" si="34"/>
        <v>#N/A</v>
      </c>
      <c r="AB51" s="33" t="e">
        <f t="shared" si="35"/>
        <v>#N/A</v>
      </c>
    </row>
    <row r="52" spans="1:28" ht="13.5" x14ac:dyDescent="0.25">
      <c r="A52" s="160" t="str">
        <f t="array" ref="A52">IFERROR(INDEX('Espesor E2'!A28:A77, SMALL(IF('Espesor E2'!J28:J77&gt;=0.2, ROW('Espesor E2'!J28:J77)-ROW('Espesor E2'!A28)+1), ROW(20:20))), "N/A")</f>
        <v>N/A</v>
      </c>
      <c r="B52" s="72" t="e">
        <f>VLOOKUP($A52,'Espesor E2'!$A$9:$J$58,2,FALSE)</f>
        <v>#N/A</v>
      </c>
      <c r="C52" s="72" t="e">
        <f>VLOOKUP($A52,'Espesor E2'!$A$9:$J$58,3,FALSE)</f>
        <v>#N/A</v>
      </c>
      <c r="D52" s="32" t="e">
        <f>VLOOKUP($A52,'Espesor E2'!$A$9:$J$58,4,FALSE)</f>
        <v>#N/A</v>
      </c>
      <c r="E52" s="32" t="e">
        <f>VLOOKUP($A52,'Espesor E2'!$A$9:$J$58,5,FALSE)</f>
        <v>#N/A</v>
      </c>
      <c r="F52" s="32" t="e">
        <f>VLOOKUP($A52,'Espesor E2'!$A$9:$J$58,6,FALSE)</f>
        <v>#N/A</v>
      </c>
      <c r="G52" s="32" t="e">
        <f>VLOOKUP($A52,'Espesor E2'!$A$9:$J$58,7,FALSE)</f>
        <v>#N/A</v>
      </c>
      <c r="H52" s="32" t="e">
        <f t="shared" si="18"/>
        <v>#N/A</v>
      </c>
      <c r="I52" s="4" t="s">
        <v>52</v>
      </c>
      <c r="J52" s="33" t="e">
        <f t="shared" si="19"/>
        <v>#N/A</v>
      </c>
      <c r="K52" s="34" t="e">
        <f>VLOOKUP($A52,'Espesor E2'!$A$9:$J$58,10,FALSE)</f>
        <v>#N/A</v>
      </c>
      <c r="L52" s="34">
        <v>0.05</v>
      </c>
      <c r="M52" s="33" t="e">
        <f t="shared" si="20"/>
        <v>#N/A</v>
      </c>
      <c r="N52" s="33" t="e">
        <f t="shared" si="21"/>
        <v>#N/A</v>
      </c>
      <c r="O52" s="33" t="e">
        <f t="shared" si="22"/>
        <v>#N/A</v>
      </c>
      <c r="P52" s="33" t="e">
        <f t="shared" si="23"/>
        <v>#N/A</v>
      </c>
      <c r="Q52" s="33" t="e">
        <f t="shared" si="24"/>
        <v>#N/A</v>
      </c>
      <c r="R52" s="33" t="e">
        <f t="shared" si="25"/>
        <v>#N/A</v>
      </c>
      <c r="S52" s="35" t="e">
        <f t="shared" si="26"/>
        <v>#N/A</v>
      </c>
      <c r="T52" s="36">
        <f t="shared" si="27"/>
        <v>857500</v>
      </c>
      <c r="U52" s="36">
        <f t="shared" si="28"/>
        <v>857500</v>
      </c>
      <c r="V52" s="33" t="e">
        <f t="shared" si="29"/>
        <v>#N/A</v>
      </c>
      <c r="W52" s="33" t="e">
        <f t="shared" si="30"/>
        <v>#N/A</v>
      </c>
      <c r="X52" s="49" t="e">
        <f t="shared" si="31"/>
        <v>#N/A</v>
      </c>
      <c r="Y52" s="49" t="e">
        <f t="shared" si="32"/>
        <v>#N/A</v>
      </c>
      <c r="Z52" s="36" t="e">
        <f t="shared" si="33"/>
        <v>#N/A</v>
      </c>
      <c r="AA52" s="15" t="e">
        <f t="shared" si="34"/>
        <v>#N/A</v>
      </c>
      <c r="AB52" s="33" t="e">
        <f t="shared" si="35"/>
        <v>#N/A</v>
      </c>
    </row>
    <row r="53" spans="1:28" x14ac:dyDescent="0.2">
      <c r="A53" s="165" t="str">
        <f ca="1">REPT('Espesor E3'!AC2,65)</f>
        <v xml:space="preserve">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 E3 /</v>
      </c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</row>
    <row r="54" spans="1:28" ht="13.5" x14ac:dyDescent="0.25">
      <c r="A54" s="160" t="str">
        <f t="array" ref="A54">IFERROR(INDEX('Espesor E3'!A9:A58, SMALL(IF('Espesor E3'!J9:J58&gt;=0.2, ROW('Espesor E3'!J9:J58)-ROW('Espesor E3'!A9)+1), ROW(1:1))), "N/A")</f>
        <v>N/A</v>
      </c>
      <c r="B54" s="72" t="e">
        <f>VLOOKUP($A54,'Espesor E3'!$A$9:$J$58,2,FALSE)</f>
        <v>#N/A</v>
      </c>
      <c r="C54" s="72" t="e">
        <f>VLOOKUP($A54,'Espesor E3'!$A$9:$J$58,3,FALSE)</f>
        <v>#N/A</v>
      </c>
      <c r="D54" s="32" t="e">
        <f>VLOOKUP($A54,'Espesor E3'!$A$9:$J$58,4,FALSE)</f>
        <v>#N/A</v>
      </c>
      <c r="E54" s="32" t="e">
        <f>VLOOKUP($A54,'Espesor E3'!$A$9:$J$58,5,FALSE)</f>
        <v>#N/A</v>
      </c>
      <c r="F54" s="32" t="e">
        <f>VLOOKUP($A54,'Espesor E3'!$A$9:$J$58,6,FALSE)</f>
        <v>#N/A</v>
      </c>
      <c r="G54" s="32" t="e">
        <f>VLOOKUP($A54,'Espesor E3'!$A$9:$J$58,7,FALSE)</f>
        <v>#N/A</v>
      </c>
      <c r="H54" s="32" t="e">
        <f>IF(D54="2D",(F54*(0.8+($C$8/14000)))/(36+9*G54),F54/E54)</f>
        <v>#N/A</v>
      </c>
      <c r="I54" s="4" t="s">
        <v>52</v>
      </c>
      <c r="J54" s="33" t="e">
        <f>MAX(0.12,H54)</f>
        <v>#N/A</v>
      </c>
      <c r="K54" s="34" t="e">
        <f>VLOOKUP($A54,'Espesor E3'!$A$9:$J$58,10,FALSE)</f>
        <v>#N/A</v>
      </c>
      <c r="L54" s="34">
        <v>0.05</v>
      </c>
      <c r="M54" s="33" t="e">
        <f>IF(D54="2D",IF(B54&lt;C54,INT(B54/($N$3+$N$5)),INT(B54/($N$3+$N$4))),IF(B54&gt;C54,INT(B54/($L$3+$L$4)),INT(B54/$L$5)))</f>
        <v>#N/A</v>
      </c>
      <c r="N54" s="33" t="e">
        <f>IF(D54="2D",IF(C54&lt;B54,INT(C54/($N$3+$N$5)),INT(C54/($N$3+$N$4))),IF(C54&gt;B54,INT(C54/($L$3+$L$4)),INT(C54/$L$5)))</f>
        <v>#N/A</v>
      </c>
      <c r="O54" s="33" t="e">
        <f>M54*N54</f>
        <v>#N/A</v>
      </c>
      <c r="P54" s="33" t="e">
        <f>O54*(IF(D54="1D",($L$4*$L$5),($N$4*$N$5)))*(K54-L54)</f>
        <v>#N/A</v>
      </c>
      <c r="Q54" s="33" t="e">
        <f>K54*B54*C54</f>
        <v>#N/A</v>
      </c>
      <c r="R54" s="33" t="e">
        <f>Q54-P54</f>
        <v>#N/A</v>
      </c>
      <c r="S54" s="35" t="e">
        <f>R54/(B54*C54)</f>
        <v>#N/A</v>
      </c>
      <c r="T54" s="36">
        <f>$T$7*$T$8*$T$8*$T$8/12</f>
        <v>857500</v>
      </c>
      <c r="U54" s="36">
        <f>T54</f>
        <v>857500</v>
      </c>
      <c r="V54" s="33" t="e">
        <f>(C54*100/2)*(J54*J54*J54*1000000)/12</f>
        <v>#N/A</v>
      </c>
      <c r="W54" s="33" t="e">
        <f>(B54*100/2)*(J54*J54*J54*1000000)/12</f>
        <v>#N/A</v>
      </c>
      <c r="X54" s="49" t="e">
        <f>T54/V54</f>
        <v>#N/A</v>
      </c>
      <c r="Y54" s="49" t="e">
        <f>U54/W54</f>
        <v>#N/A</v>
      </c>
      <c r="Z54" s="36" t="e">
        <f>(X54*2+Y54*2)/4</f>
        <v>#N/A</v>
      </c>
      <c r="AA54" s="15" t="e">
        <f>IF(Z54&gt;2,"OK","CHK")</f>
        <v>#N/A</v>
      </c>
      <c r="AB54" s="33" t="e">
        <f>(F54*(0.8+($C$9/14000)))/(36+5*G54*(0.2-0.12))</f>
        <v>#N/A</v>
      </c>
    </row>
    <row r="55" spans="1:28" ht="13.5" x14ac:dyDescent="0.25">
      <c r="A55" s="160" t="str">
        <f t="array" ref="A55">IFERROR(INDEX('Espesor E3'!A10:A59, SMALL(IF('Espesor E3'!J10:J59&gt;=0.2, ROW('Espesor E3'!J10:J59)-ROW('Espesor E3'!A10)+1), ROW(2:2))), "N/A")</f>
        <v>N/A</v>
      </c>
      <c r="B55" s="72" t="e">
        <f>VLOOKUP($A55,'Espesor E3'!$A$9:$J$58,2,FALSE)</f>
        <v>#N/A</v>
      </c>
      <c r="C55" s="72" t="e">
        <f>VLOOKUP($A55,'Espesor E3'!$A$9:$J$58,3,FALSE)</f>
        <v>#N/A</v>
      </c>
      <c r="D55" s="32" t="e">
        <f>VLOOKUP($A55,'Espesor E3'!$A$9:$J$58,4,FALSE)</f>
        <v>#N/A</v>
      </c>
      <c r="E55" s="32" t="e">
        <f>VLOOKUP($A55,'Espesor E3'!$A$9:$J$58,5,FALSE)</f>
        <v>#N/A</v>
      </c>
      <c r="F55" s="32" t="e">
        <f>VLOOKUP($A55,'Espesor E3'!$A$9:$J$58,6,FALSE)</f>
        <v>#N/A</v>
      </c>
      <c r="G55" s="32" t="e">
        <f>VLOOKUP($A55,'Espesor E3'!$A$9:$J$58,7,FALSE)</f>
        <v>#N/A</v>
      </c>
      <c r="H55" s="32" t="e">
        <f t="shared" ref="H55:H73" si="36">IF(D55="2D",(F55*(0.8+($C$8/14000)))/(36+9*G55),F55/E55)</f>
        <v>#N/A</v>
      </c>
      <c r="I55" s="4" t="s">
        <v>52</v>
      </c>
      <c r="J55" s="33" t="e">
        <f t="shared" ref="J55:J73" si="37">MAX(0.12,H55)</f>
        <v>#N/A</v>
      </c>
      <c r="K55" s="34" t="e">
        <f>VLOOKUP($A55,'Espesor E3'!$A$9:$J$58,10,FALSE)</f>
        <v>#N/A</v>
      </c>
      <c r="L55" s="34">
        <v>0.05</v>
      </c>
      <c r="M55" s="33" t="e">
        <f t="shared" ref="M55:M73" si="38">IF(D55="2D",IF(B55&lt;C55,INT(B55/($N$3+$N$5)),INT(B55/($N$3+$N$4))),IF(B55&gt;C55,INT(B55/($L$3+$L$4)),INT(B55/$L$5)))</f>
        <v>#N/A</v>
      </c>
      <c r="N55" s="33" t="e">
        <f t="shared" ref="N55:N73" si="39">IF(D55="2D",IF(C55&lt;B55,INT(C55/($N$3+$N$5)),INT(C55/($N$3+$N$4))),IF(C55&gt;B55,INT(C55/($L$3+$L$4)),INT(C55/$L$5)))</f>
        <v>#N/A</v>
      </c>
      <c r="O55" s="33" t="e">
        <f t="shared" ref="O55:O73" si="40">M55*N55</f>
        <v>#N/A</v>
      </c>
      <c r="P55" s="33" t="e">
        <f t="shared" ref="P55:P73" si="41">O55*(IF(D55="1D",($L$4*$L$5),($N$4*$N$5)))*(K55-L55)</f>
        <v>#N/A</v>
      </c>
      <c r="Q55" s="33" t="e">
        <f t="shared" ref="Q55:Q73" si="42">K55*B55*C55</f>
        <v>#N/A</v>
      </c>
      <c r="R55" s="33" t="e">
        <f t="shared" ref="R55:R73" si="43">Q55-P55</f>
        <v>#N/A</v>
      </c>
      <c r="S55" s="35" t="e">
        <f t="shared" ref="S55:S73" si="44">R55/(B55*C55)</f>
        <v>#N/A</v>
      </c>
      <c r="T55" s="36">
        <f t="shared" ref="T55:T73" si="45">$T$7*$T$8*$T$8*$T$8/12</f>
        <v>857500</v>
      </c>
      <c r="U55" s="36">
        <f t="shared" ref="U55:U73" si="46">T55</f>
        <v>857500</v>
      </c>
      <c r="V55" s="33" t="e">
        <f t="shared" ref="V55:V73" si="47">(C55*100/2)*(J55*J55*J55*1000000)/12</f>
        <v>#N/A</v>
      </c>
      <c r="W55" s="33" t="e">
        <f t="shared" ref="W55:W73" si="48">(B55*100/2)*(J55*J55*J55*1000000)/12</f>
        <v>#N/A</v>
      </c>
      <c r="X55" s="49" t="e">
        <f t="shared" ref="X55:X73" si="49">T55/V55</f>
        <v>#N/A</v>
      </c>
      <c r="Y55" s="49" t="e">
        <f t="shared" ref="Y55:Y73" si="50">U55/W55</f>
        <v>#N/A</v>
      </c>
      <c r="Z55" s="36" t="e">
        <f t="shared" ref="Z55:Z73" si="51">(X55*2+Y55*2)/4</f>
        <v>#N/A</v>
      </c>
      <c r="AA55" s="15" t="e">
        <f t="shared" ref="AA55:AA73" si="52">IF(Z55&gt;2,"OK","CHK")</f>
        <v>#N/A</v>
      </c>
      <c r="AB55" s="33" t="e">
        <f t="shared" ref="AB55:AB73" si="53">(F55*(0.8+($C$9/14000)))/(36+5*G55*(0.2-0.12))</f>
        <v>#N/A</v>
      </c>
    </row>
    <row r="56" spans="1:28" ht="13.5" x14ac:dyDescent="0.25">
      <c r="A56" s="160" t="str">
        <f t="array" ref="A56">IFERROR(INDEX('Espesor E3'!A11:A60, SMALL(IF('Espesor E3'!J11:J60&gt;=0.2, ROW('Espesor E3'!J11:J60)-ROW('Espesor E3'!A11)+1), ROW(3:3))), "N/A")</f>
        <v>N/A</v>
      </c>
      <c r="B56" s="72" t="e">
        <f>VLOOKUP($A56,'Espesor E3'!$A$9:$J$58,2,FALSE)</f>
        <v>#N/A</v>
      </c>
      <c r="C56" s="72" t="e">
        <f>VLOOKUP($A56,'Espesor E3'!$A$9:$J$58,3,FALSE)</f>
        <v>#N/A</v>
      </c>
      <c r="D56" s="32" t="e">
        <f>VLOOKUP($A56,'Espesor E3'!$A$9:$J$58,4,FALSE)</f>
        <v>#N/A</v>
      </c>
      <c r="E56" s="32" t="e">
        <f>VLOOKUP($A56,'Espesor E3'!$A$9:$J$58,5,FALSE)</f>
        <v>#N/A</v>
      </c>
      <c r="F56" s="32" t="e">
        <f>VLOOKUP($A56,'Espesor E3'!$A$9:$J$58,6,FALSE)</f>
        <v>#N/A</v>
      </c>
      <c r="G56" s="32" t="e">
        <f>VLOOKUP($A56,'Espesor E3'!$A$9:$J$58,7,FALSE)</f>
        <v>#N/A</v>
      </c>
      <c r="H56" s="32" t="e">
        <f t="shared" si="36"/>
        <v>#N/A</v>
      </c>
      <c r="I56" s="4" t="s">
        <v>52</v>
      </c>
      <c r="J56" s="33" t="e">
        <f t="shared" si="37"/>
        <v>#N/A</v>
      </c>
      <c r="K56" s="34" t="e">
        <f>VLOOKUP($A56,'Espesor E3'!$A$9:$J$58,10,FALSE)</f>
        <v>#N/A</v>
      </c>
      <c r="L56" s="34">
        <v>0.05</v>
      </c>
      <c r="M56" s="33" t="e">
        <f t="shared" si="38"/>
        <v>#N/A</v>
      </c>
      <c r="N56" s="33" t="e">
        <f t="shared" si="39"/>
        <v>#N/A</v>
      </c>
      <c r="O56" s="33" t="e">
        <f t="shared" si="40"/>
        <v>#N/A</v>
      </c>
      <c r="P56" s="33" t="e">
        <f t="shared" si="41"/>
        <v>#N/A</v>
      </c>
      <c r="Q56" s="33" t="e">
        <f t="shared" si="42"/>
        <v>#N/A</v>
      </c>
      <c r="R56" s="33" t="e">
        <f t="shared" si="43"/>
        <v>#N/A</v>
      </c>
      <c r="S56" s="35" t="e">
        <f t="shared" si="44"/>
        <v>#N/A</v>
      </c>
      <c r="T56" s="36">
        <f t="shared" si="45"/>
        <v>857500</v>
      </c>
      <c r="U56" s="36">
        <f t="shared" si="46"/>
        <v>857500</v>
      </c>
      <c r="V56" s="33" t="e">
        <f t="shared" si="47"/>
        <v>#N/A</v>
      </c>
      <c r="W56" s="33" t="e">
        <f t="shared" si="48"/>
        <v>#N/A</v>
      </c>
      <c r="X56" s="49" t="e">
        <f t="shared" si="49"/>
        <v>#N/A</v>
      </c>
      <c r="Y56" s="49" t="e">
        <f t="shared" si="50"/>
        <v>#N/A</v>
      </c>
      <c r="Z56" s="36" t="e">
        <f t="shared" si="51"/>
        <v>#N/A</v>
      </c>
      <c r="AA56" s="15" t="e">
        <f t="shared" si="52"/>
        <v>#N/A</v>
      </c>
      <c r="AB56" s="33" t="e">
        <f t="shared" si="53"/>
        <v>#N/A</v>
      </c>
    </row>
    <row r="57" spans="1:28" ht="13.5" x14ac:dyDescent="0.25">
      <c r="A57" s="160" t="str">
        <f t="array" ref="A57">IFERROR(INDEX('Espesor E3'!A12:A61, SMALL(IF('Espesor E3'!J12:J61&gt;=0.2, ROW('Espesor E3'!J12:J61)-ROW('Espesor E3'!A12)+1), ROW(4:4))), "N/A")</f>
        <v>N/A</v>
      </c>
      <c r="B57" s="72" t="e">
        <f>VLOOKUP($A57,'Espesor E3'!$A$9:$J$58,2,FALSE)</f>
        <v>#N/A</v>
      </c>
      <c r="C57" s="72" t="e">
        <f>VLOOKUP($A57,'Espesor E3'!$A$9:$J$58,3,FALSE)</f>
        <v>#N/A</v>
      </c>
      <c r="D57" s="32" t="e">
        <f>VLOOKUP($A57,'Espesor E3'!$A$9:$J$58,4,FALSE)</f>
        <v>#N/A</v>
      </c>
      <c r="E57" s="32" t="e">
        <f>VLOOKUP($A57,'Espesor E3'!$A$9:$J$58,5,FALSE)</f>
        <v>#N/A</v>
      </c>
      <c r="F57" s="32" t="e">
        <f>VLOOKUP($A57,'Espesor E3'!$A$9:$J$58,6,FALSE)</f>
        <v>#N/A</v>
      </c>
      <c r="G57" s="32" t="e">
        <f>VLOOKUP($A57,'Espesor E3'!$A$9:$J$58,7,FALSE)</f>
        <v>#N/A</v>
      </c>
      <c r="H57" s="32" t="e">
        <f t="shared" si="36"/>
        <v>#N/A</v>
      </c>
      <c r="I57" s="4" t="s">
        <v>52</v>
      </c>
      <c r="J57" s="33" t="e">
        <f t="shared" si="37"/>
        <v>#N/A</v>
      </c>
      <c r="K57" s="34" t="e">
        <f>VLOOKUP($A57,'Espesor E3'!$A$9:$J$58,10,FALSE)</f>
        <v>#N/A</v>
      </c>
      <c r="L57" s="34">
        <v>0.05</v>
      </c>
      <c r="M57" s="33" t="e">
        <f t="shared" si="38"/>
        <v>#N/A</v>
      </c>
      <c r="N57" s="33" t="e">
        <f t="shared" si="39"/>
        <v>#N/A</v>
      </c>
      <c r="O57" s="33" t="e">
        <f t="shared" si="40"/>
        <v>#N/A</v>
      </c>
      <c r="P57" s="33" t="e">
        <f t="shared" si="41"/>
        <v>#N/A</v>
      </c>
      <c r="Q57" s="33" t="e">
        <f t="shared" si="42"/>
        <v>#N/A</v>
      </c>
      <c r="R57" s="33" t="e">
        <f t="shared" si="43"/>
        <v>#N/A</v>
      </c>
      <c r="S57" s="35" t="e">
        <f t="shared" si="44"/>
        <v>#N/A</v>
      </c>
      <c r="T57" s="36">
        <f t="shared" si="45"/>
        <v>857500</v>
      </c>
      <c r="U57" s="36">
        <f t="shared" si="46"/>
        <v>857500</v>
      </c>
      <c r="V57" s="33" t="e">
        <f t="shared" si="47"/>
        <v>#N/A</v>
      </c>
      <c r="W57" s="33" t="e">
        <f t="shared" si="48"/>
        <v>#N/A</v>
      </c>
      <c r="X57" s="49" t="e">
        <f t="shared" si="49"/>
        <v>#N/A</v>
      </c>
      <c r="Y57" s="49" t="e">
        <f t="shared" si="50"/>
        <v>#N/A</v>
      </c>
      <c r="Z57" s="36" t="e">
        <f t="shared" si="51"/>
        <v>#N/A</v>
      </c>
      <c r="AA57" s="15" t="e">
        <f t="shared" si="52"/>
        <v>#N/A</v>
      </c>
      <c r="AB57" s="33" t="e">
        <f t="shared" si="53"/>
        <v>#N/A</v>
      </c>
    </row>
    <row r="58" spans="1:28" ht="13.5" x14ac:dyDescent="0.25">
      <c r="A58" s="160" t="str">
        <f t="array" ref="A58">IFERROR(INDEX('Espesor E3'!A13:A62, SMALL(IF('Espesor E3'!J13:J62&gt;=0.2, ROW('Espesor E3'!J13:J62)-ROW('Espesor E3'!A13)+1), ROW(5:5))), "N/A")</f>
        <v>N/A</v>
      </c>
      <c r="B58" s="72" t="e">
        <f>VLOOKUP($A58,'Espesor E3'!$A$9:$J$58,2,FALSE)</f>
        <v>#N/A</v>
      </c>
      <c r="C58" s="72" t="e">
        <f>VLOOKUP($A58,'Espesor E3'!$A$9:$J$58,3,FALSE)</f>
        <v>#N/A</v>
      </c>
      <c r="D58" s="32" t="e">
        <f>VLOOKUP($A58,'Espesor E3'!$A$9:$J$58,4,FALSE)</f>
        <v>#N/A</v>
      </c>
      <c r="E58" s="32" t="e">
        <f>VLOOKUP($A58,'Espesor E3'!$A$9:$J$58,5,FALSE)</f>
        <v>#N/A</v>
      </c>
      <c r="F58" s="32" t="e">
        <f>VLOOKUP($A58,'Espesor E3'!$A$9:$J$58,6,FALSE)</f>
        <v>#N/A</v>
      </c>
      <c r="G58" s="32" t="e">
        <f>VLOOKUP($A58,'Espesor E3'!$A$9:$J$58,7,FALSE)</f>
        <v>#N/A</v>
      </c>
      <c r="H58" s="32" t="e">
        <f t="shared" si="36"/>
        <v>#N/A</v>
      </c>
      <c r="I58" s="4" t="s">
        <v>52</v>
      </c>
      <c r="J58" s="33" t="e">
        <f t="shared" si="37"/>
        <v>#N/A</v>
      </c>
      <c r="K58" s="34" t="e">
        <f>VLOOKUP($A58,'Espesor E3'!$A$9:$J$58,10,FALSE)</f>
        <v>#N/A</v>
      </c>
      <c r="L58" s="34">
        <v>0.05</v>
      </c>
      <c r="M58" s="33" t="e">
        <f t="shared" si="38"/>
        <v>#N/A</v>
      </c>
      <c r="N58" s="33" t="e">
        <f t="shared" si="39"/>
        <v>#N/A</v>
      </c>
      <c r="O58" s="33" t="e">
        <f t="shared" si="40"/>
        <v>#N/A</v>
      </c>
      <c r="P58" s="33" t="e">
        <f t="shared" si="41"/>
        <v>#N/A</v>
      </c>
      <c r="Q58" s="33" t="e">
        <f t="shared" si="42"/>
        <v>#N/A</v>
      </c>
      <c r="R58" s="33" t="e">
        <f t="shared" si="43"/>
        <v>#N/A</v>
      </c>
      <c r="S58" s="35" t="e">
        <f t="shared" si="44"/>
        <v>#N/A</v>
      </c>
      <c r="T58" s="36">
        <f t="shared" si="45"/>
        <v>857500</v>
      </c>
      <c r="U58" s="36">
        <f t="shared" si="46"/>
        <v>857500</v>
      </c>
      <c r="V58" s="33" t="e">
        <f t="shared" si="47"/>
        <v>#N/A</v>
      </c>
      <c r="W58" s="33" t="e">
        <f t="shared" si="48"/>
        <v>#N/A</v>
      </c>
      <c r="X58" s="49" t="e">
        <f t="shared" si="49"/>
        <v>#N/A</v>
      </c>
      <c r="Y58" s="49" t="e">
        <f t="shared" si="50"/>
        <v>#N/A</v>
      </c>
      <c r="Z58" s="36" t="e">
        <f t="shared" si="51"/>
        <v>#N/A</v>
      </c>
      <c r="AA58" s="15" t="e">
        <f t="shared" si="52"/>
        <v>#N/A</v>
      </c>
      <c r="AB58" s="33" t="e">
        <f t="shared" si="53"/>
        <v>#N/A</v>
      </c>
    </row>
    <row r="59" spans="1:28" ht="13.5" x14ac:dyDescent="0.25">
      <c r="A59" s="160" t="str">
        <f t="array" ref="A59">IFERROR(INDEX('Espesor E3'!A14:A63, SMALL(IF('Espesor E3'!J14:J63&gt;=0.2, ROW('Espesor E3'!J14:J63)-ROW('Espesor E3'!A14)+1), ROW(6:6))), "N/A")</f>
        <v>N/A</v>
      </c>
      <c r="B59" s="72" t="e">
        <f>VLOOKUP($A59,'Espesor E3'!$A$9:$J$58,2,FALSE)</f>
        <v>#N/A</v>
      </c>
      <c r="C59" s="72" t="e">
        <f>VLOOKUP($A59,'Espesor E3'!$A$9:$J$58,3,FALSE)</f>
        <v>#N/A</v>
      </c>
      <c r="D59" s="32" t="e">
        <f>VLOOKUP($A59,'Espesor E3'!$A$9:$J$58,4,FALSE)</f>
        <v>#N/A</v>
      </c>
      <c r="E59" s="32" t="e">
        <f>VLOOKUP($A59,'Espesor E3'!$A$9:$J$58,5,FALSE)</f>
        <v>#N/A</v>
      </c>
      <c r="F59" s="32" t="e">
        <f>VLOOKUP($A59,'Espesor E3'!$A$9:$J$58,6,FALSE)</f>
        <v>#N/A</v>
      </c>
      <c r="G59" s="32" t="e">
        <f>VLOOKUP($A59,'Espesor E3'!$A$9:$J$58,7,FALSE)</f>
        <v>#N/A</v>
      </c>
      <c r="H59" s="32" t="e">
        <f t="shared" si="36"/>
        <v>#N/A</v>
      </c>
      <c r="I59" s="4" t="s">
        <v>52</v>
      </c>
      <c r="J59" s="33" t="e">
        <f t="shared" si="37"/>
        <v>#N/A</v>
      </c>
      <c r="K59" s="34" t="e">
        <f>VLOOKUP($A59,'Espesor E3'!$A$9:$J$58,10,FALSE)</f>
        <v>#N/A</v>
      </c>
      <c r="L59" s="34">
        <v>0.05</v>
      </c>
      <c r="M59" s="33" t="e">
        <f t="shared" si="38"/>
        <v>#N/A</v>
      </c>
      <c r="N59" s="33" t="e">
        <f t="shared" si="39"/>
        <v>#N/A</v>
      </c>
      <c r="O59" s="33" t="e">
        <f t="shared" si="40"/>
        <v>#N/A</v>
      </c>
      <c r="P59" s="33" t="e">
        <f t="shared" si="41"/>
        <v>#N/A</v>
      </c>
      <c r="Q59" s="33" t="e">
        <f t="shared" si="42"/>
        <v>#N/A</v>
      </c>
      <c r="R59" s="33" t="e">
        <f t="shared" si="43"/>
        <v>#N/A</v>
      </c>
      <c r="S59" s="35" t="e">
        <f t="shared" si="44"/>
        <v>#N/A</v>
      </c>
      <c r="T59" s="36">
        <f t="shared" si="45"/>
        <v>857500</v>
      </c>
      <c r="U59" s="36">
        <f t="shared" si="46"/>
        <v>857500</v>
      </c>
      <c r="V59" s="33" t="e">
        <f t="shared" si="47"/>
        <v>#N/A</v>
      </c>
      <c r="W59" s="33" t="e">
        <f t="shared" si="48"/>
        <v>#N/A</v>
      </c>
      <c r="X59" s="49" t="e">
        <f t="shared" si="49"/>
        <v>#N/A</v>
      </c>
      <c r="Y59" s="49" t="e">
        <f t="shared" si="50"/>
        <v>#N/A</v>
      </c>
      <c r="Z59" s="36" t="e">
        <f t="shared" si="51"/>
        <v>#N/A</v>
      </c>
      <c r="AA59" s="15" t="e">
        <f t="shared" si="52"/>
        <v>#N/A</v>
      </c>
      <c r="AB59" s="33" t="e">
        <f t="shared" si="53"/>
        <v>#N/A</v>
      </c>
    </row>
    <row r="60" spans="1:28" ht="13.5" x14ac:dyDescent="0.25">
      <c r="A60" s="160" t="str">
        <f t="array" ref="A60">IFERROR(INDEX('Espesor E3'!A15:A64, SMALL(IF('Espesor E3'!J15:J64&gt;=0.2, ROW('Espesor E3'!J15:J64)-ROW('Espesor E3'!A15)+1), ROW(7:7))), "N/A")</f>
        <v>N/A</v>
      </c>
      <c r="B60" s="72" t="e">
        <f>VLOOKUP($A60,'Espesor E3'!$A$9:$J$58,2,FALSE)</f>
        <v>#N/A</v>
      </c>
      <c r="C60" s="72" t="e">
        <f>VLOOKUP($A60,'Espesor E3'!$A$9:$J$58,3,FALSE)</f>
        <v>#N/A</v>
      </c>
      <c r="D60" s="32" t="e">
        <f>VLOOKUP($A60,'Espesor E3'!$A$9:$J$58,4,FALSE)</f>
        <v>#N/A</v>
      </c>
      <c r="E60" s="32" t="e">
        <f>VLOOKUP($A60,'Espesor E3'!$A$9:$J$58,5,FALSE)</f>
        <v>#N/A</v>
      </c>
      <c r="F60" s="32" t="e">
        <f>VLOOKUP($A60,'Espesor E3'!$A$9:$J$58,6,FALSE)</f>
        <v>#N/A</v>
      </c>
      <c r="G60" s="32" t="e">
        <f>VLOOKUP($A60,'Espesor E3'!$A$9:$J$58,7,FALSE)</f>
        <v>#N/A</v>
      </c>
      <c r="H60" s="32" t="e">
        <f t="shared" si="36"/>
        <v>#N/A</v>
      </c>
      <c r="I60" s="4" t="s">
        <v>52</v>
      </c>
      <c r="J60" s="33" t="e">
        <f t="shared" si="37"/>
        <v>#N/A</v>
      </c>
      <c r="K60" s="34" t="e">
        <f>VLOOKUP($A60,'Espesor E3'!$A$9:$J$58,10,FALSE)</f>
        <v>#N/A</v>
      </c>
      <c r="L60" s="34">
        <v>0.05</v>
      </c>
      <c r="M60" s="33" t="e">
        <f t="shared" si="38"/>
        <v>#N/A</v>
      </c>
      <c r="N60" s="33" t="e">
        <f t="shared" si="39"/>
        <v>#N/A</v>
      </c>
      <c r="O60" s="33" t="e">
        <f t="shared" si="40"/>
        <v>#N/A</v>
      </c>
      <c r="P60" s="33" t="e">
        <f t="shared" si="41"/>
        <v>#N/A</v>
      </c>
      <c r="Q60" s="33" t="e">
        <f t="shared" si="42"/>
        <v>#N/A</v>
      </c>
      <c r="R60" s="33" t="e">
        <f t="shared" si="43"/>
        <v>#N/A</v>
      </c>
      <c r="S60" s="35" t="e">
        <f t="shared" si="44"/>
        <v>#N/A</v>
      </c>
      <c r="T60" s="36">
        <f t="shared" si="45"/>
        <v>857500</v>
      </c>
      <c r="U60" s="36">
        <f t="shared" si="46"/>
        <v>857500</v>
      </c>
      <c r="V60" s="33" t="e">
        <f t="shared" si="47"/>
        <v>#N/A</v>
      </c>
      <c r="W60" s="33" t="e">
        <f t="shared" si="48"/>
        <v>#N/A</v>
      </c>
      <c r="X60" s="49" t="e">
        <f t="shared" si="49"/>
        <v>#N/A</v>
      </c>
      <c r="Y60" s="49" t="e">
        <f t="shared" si="50"/>
        <v>#N/A</v>
      </c>
      <c r="Z60" s="36" t="e">
        <f t="shared" si="51"/>
        <v>#N/A</v>
      </c>
      <c r="AA60" s="15" t="e">
        <f t="shared" si="52"/>
        <v>#N/A</v>
      </c>
      <c r="AB60" s="33" t="e">
        <f t="shared" si="53"/>
        <v>#N/A</v>
      </c>
    </row>
    <row r="61" spans="1:28" ht="13.5" x14ac:dyDescent="0.25">
      <c r="A61" s="160" t="str">
        <f t="array" ref="A61">IFERROR(INDEX('Espesor E3'!A16:A65, SMALL(IF('Espesor E3'!J16:J65&gt;=0.2, ROW('Espesor E3'!J16:J65)-ROW('Espesor E3'!A16)+1), ROW(8:8))), "N/A")</f>
        <v>N/A</v>
      </c>
      <c r="B61" s="72" t="e">
        <f>VLOOKUP($A61,'Espesor E3'!$A$9:$J$58,2,FALSE)</f>
        <v>#N/A</v>
      </c>
      <c r="C61" s="72" t="e">
        <f>VLOOKUP($A61,'Espesor E3'!$A$9:$J$58,3,FALSE)</f>
        <v>#N/A</v>
      </c>
      <c r="D61" s="32" t="e">
        <f>VLOOKUP($A61,'Espesor E3'!$A$9:$J$58,4,FALSE)</f>
        <v>#N/A</v>
      </c>
      <c r="E61" s="32" t="e">
        <f>VLOOKUP($A61,'Espesor E3'!$A$9:$J$58,5,FALSE)</f>
        <v>#N/A</v>
      </c>
      <c r="F61" s="32" t="e">
        <f>VLOOKUP($A61,'Espesor E3'!$A$9:$J$58,6,FALSE)</f>
        <v>#N/A</v>
      </c>
      <c r="G61" s="32" t="e">
        <f>VLOOKUP($A61,'Espesor E3'!$A$9:$J$58,7,FALSE)</f>
        <v>#N/A</v>
      </c>
      <c r="H61" s="32" t="e">
        <f t="shared" si="36"/>
        <v>#N/A</v>
      </c>
      <c r="I61" s="4" t="s">
        <v>52</v>
      </c>
      <c r="J61" s="33" t="e">
        <f t="shared" si="37"/>
        <v>#N/A</v>
      </c>
      <c r="K61" s="34" t="e">
        <f>VLOOKUP($A61,'Espesor E3'!$A$9:$J$58,10,FALSE)</f>
        <v>#N/A</v>
      </c>
      <c r="L61" s="34">
        <v>0.05</v>
      </c>
      <c r="M61" s="33" t="e">
        <f t="shared" si="38"/>
        <v>#N/A</v>
      </c>
      <c r="N61" s="33" t="e">
        <f t="shared" si="39"/>
        <v>#N/A</v>
      </c>
      <c r="O61" s="33" t="e">
        <f t="shared" si="40"/>
        <v>#N/A</v>
      </c>
      <c r="P61" s="33" t="e">
        <f t="shared" si="41"/>
        <v>#N/A</v>
      </c>
      <c r="Q61" s="33" t="e">
        <f t="shared" si="42"/>
        <v>#N/A</v>
      </c>
      <c r="R61" s="33" t="e">
        <f t="shared" si="43"/>
        <v>#N/A</v>
      </c>
      <c r="S61" s="35" t="e">
        <f t="shared" si="44"/>
        <v>#N/A</v>
      </c>
      <c r="T61" s="36">
        <f t="shared" si="45"/>
        <v>857500</v>
      </c>
      <c r="U61" s="36">
        <f t="shared" si="46"/>
        <v>857500</v>
      </c>
      <c r="V61" s="33" t="e">
        <f t="shared" si="47"/>
        <v>#N/A</v>
      </c>
      <c r="W61" s="33" t="e">
        <f t="shared" si="48"/>
        <v>#N/A</v>
      </c>
      <c r="X61" s="49" t="e">
        <f t="shared" si="49"/>
        <v>#N/A</v>
      </c>
      <c r="Y61" s="49" t="e">
        <f t="shared" si="50"/>
        <v>#N/A</v>
      </c>
      <c r="Z61" s="36" t="e">
        <f t="shared" si="51"/>
        <v>#N/A</v>
      </c>
      <c r="AA61" s="15" t="e">
        <f t="shared" si="52"/>
        <v>#N/A</v>
      </c>
      <c r="AB61" s="33" t="e">
        <f t="shared" si="53"/>
        <v>#N/A</v>
      </c>
    </row>
    <row r="62" spans="1:28" ht="13.5" x14ac:dyDescent="0.25">
      <c r="A62" s="160" t="str">
        <f t="array" ref="A62">IFERROR(INDEX('Espesor E3'!A17:A66, SMALL(IF('Espesor E3'!J17:J66&gt;=0.2, ROW('Espesor E3'!J17:J66)-ROW('Espesor E3'!A17)+1), ROW(9:9))), "N/A")</f>
        <v>N/A</v>
      </c>
      <c r="B62" s="72" t="e">
        <f>VLOOKUP($A62,'Espesor E3'!$A$9:$J$58,2,FALSE)</f>
        <v>#N/A</v>
      </c>
      <c r="C62" s="72" t="e">
        <f>VLOOKUP($A62,'Espesor E3'!$A$9:$J$58,3,FALSE)</f>
        <v>#N/A</v>
      </c>
      <c r="D62" s="32" t="e">
        <f>VLOOKUP($A62,'Espesor E3'!$A$9:$J$58,4,FALSE)</f>
        <v>#N/A</v>
      </c>
      <c r="E62" s="32" t="e">
        <f>VLOOKUP($A62,'Espesor E3'!$A$9:$J$58,5,FALSE)</f>
        <v>#N/A</v>
      </c>
      <c r="F62" s="32" t="e">
        <f>VLOOKUP($A62,'Espesor E3'!$A$9:$J$58,6,FALSE)</f>
        <v>#N/A</v>
      </c>
      <c r="G62" s="32" t="e">
        <f>VLOOKUP($A62,'Espesor E3'!$A$9:$J$58,7,FALSE)</f>
        <v>#N/A</v>
      </c>
      <c r="H62" s="32" t="e">
        <f t="shared" si="36"/>
        <v>#N/A</v>
      </c>
      <c r="I62" s="4" t="s">
        <v>52</v>
      </c>
      <c r="J62" s="33" t="e">
        <f t="shared" si="37"/>
        <v>#N/A</v>
      </c>
      <c r="K62" s="34" t="e">
        <f>VLOOKUP($A62,'Espesor E3'!$A$9:$J$58,10,FALSE)</f>
        <v>#N/A</v>
      </c>
      <c r="L62" s="34">
        <v>0.05</v>
      </c>
      <c r="M62" s="33" t="e">
        <f t="shared" si="38"/>
        <v>#N/A</v>
      </c>
      <c r="N62" s="33" t="e">
        <f t="shared" si="39"/>
        <v>#N/A</v>
      </c>
      <c r="O62" s="33" t="e">
        <f t="shared" si="40"/>
        <v>#N/A</v>
      </c>
      <c r="P62" s="33" t="e">
        <f t="shared" si="41"/>
        <v>#N/A</v>
      </c>
      <c r="Q62" s="33" t="e">
        <f t="shared" si="42"/>
        <v>#N/A</v>
      </c>
      <c r="R62" s="33" t="e">
        <f t="shared" si="43"/>
        <v>#N/A</v>
      </c>
      <c r="S62" s="35" t="e">
        <f t="shared" si="44"/>
        <v>#N/A</v>
      </c>
      <c r="T62" s="36">
        <f t="shared" si="45"/>
        <v>857500</v>
      </c>
      <c r="U62" s="36">
        <f t="shared" si="46"/>
        <v>857500</v>
      </c>
      <c r="V62" s="33" t="e">
        <f t="shared" si="47"/>
        <v>#N/A</v>
      </c>
      <c r="W62" s="33" t="e">
        <f t="shared" si="48"/>
        <v>#N/A</v>
      </c>
      <c r="X62" s="49" t="e">
        <f t="shared" si="49"/>
        <v>#N/A</v>
      </c>
      <c r="Y62" s="49" t="e">
        <f t="shared" si="50"/>
        <v>#N/A</v>
      </c>
      <c r="Z62" s="36" t="e">
        <f t="shared" si="51"/>
        <v>#N/A</v>
      </c>
      <c r="AA62" s="15" t="e">
        <f t="shared" si="52"/>
        <v>#N/A</v>
      </c>
      <c r="AB62" s="33" t="e">
        <f t="shared" si="53"/>
        <v>#N/A</v>
      </c>
    </row>
    <row r="63" spans="1:28" ht="13.5" x14ac:dyDescent="0.25">
      <c r="A63" s="160" t="str">
        <f t="array" ref="A63">IFERROR(INDEX('Espesor E3'!A18:A67, SMALL(IF('Espesor E3'!J18:J67&gt;=0.2, ROW('Espesor E3'!J18:J67)-ROW('Espesor E3'!A18)+1), ROW(10:10))), "N/A")</f>
        <v>N/A</v>
      </c>
      <c r="B63" s="72" t="e">
        <f>VLOOKUP($A63,'Espesor E3'!$A$9:$J$58,2,FALSE)</f>
        <v>#N/A</v>
      </c>
      <c r="C63" s="72" t="e">
        <f>VLOOKUP($A63,'Espesor E3'!$A$9:$J$58,3,FALSE)</f>
        <v>#N/A</v>
      </c>
      <c r="D63" s="32" t="e">
        <f>VLOOKUP($A63,'Espesor E3'!$A$9:$J$58,4,FALSE)</f>
        <v>#N/A</v>
      </c>
      <c r="E63" s="32" t="e">
        <f>VLOOKUP($A63,'Espesor E3'!$A$9:$J$58,5,FALSE)</f>
        <v>#N/A</v>
      </c>
      <c r="F63" s="32" t="e">
        <f>VLOOKUP($A63,'Espesor E3'!$A$9:$J$58,6,FALSE)</f>
        <v>#N/A</v>
      </c>
      <c r="G63" s="32" t="e">
        <f>VLOOKUP($A63,'Espesor E3'!$A$9:$J$58,7,FALSE)</f>
        <v>#N/A</v>
      </c>
      <c r="H63" s="32" t="e">
        <f t="shared" si="36"/>
        <v>#N/A</v>
      </c>
      <c r="I63" s="4" t="s">
        <v>52</v>
      </c>
      <c r="J63" s="33" t="e">
        <f t="shared" si="37"/>
        <v>#N/A</v>
      </c>
      <c r="K63" s="34" t="e">
        <f>VLOOKUP($A63,'Espesor E3'!$A$9:$J$58,10,FALSE)</f>
        <v>#N/A</v>
      </c>
      <c r="L63" s="34">
        <v>0.05</v>
      </c>
      <c r="M63" s="33" t="e">
        <f t="shared" si="38"/>
        <v>#N/A</v>
      </c>
      <c r="N63" s="33" t="e">
        <f t="shared" si="39"/>
        <v>#N/A</v>
      </c>
      <c r="O63" s="33" t="e">
        <f t="shared" si="40"/>
        <v>#N/A</v>
      </c>
      <c r="P63" s="33" t="e">
        <f t="shared" si="41"/>
        <v>#N/A</v>
      </c>
      <c r="Q63" s="33" t="e">
        <f t="shared" si="42"/>
        <v>#N/A</v>
      </c>
      <c r="R63" s="33" t="e">
        <f t="shared" si="43"/>
        <v>#N/A</v>
      </c>
      <c r="S63" s="35" t="e">
        <f t="shared" si="44"/>
        <v>#N/A</v>
      </c>
      <c r="T63" s="36">
        <f t="shared" si="45"/>
        <v>857500</v>
      </c>
      <c r="U63" s="36">
        <f t="shared" si="46"/>
        <v>857500</v>
      </c>
      <c r="V63" s="33" t="e">
        <f t="shared" si="47"/>
        <v>#N/A</v>
      </c>
      <c r="W63" s="33" t="e">
        <f t="shared" si="48"/>
        <v>#N/A</v>
      </c>
      <c r="X63" s="49" t="e">
        <f t="shared" si="49"/>
        <v>#N/A</v>
      </c>
      <c r="Y63" s="49" t="e">
        <f t="shared" si="50"/>
        <v>#N/A</v>
      </c>
      <c r="Z63" s="36" t="e">
        <f t="shared" si="51"/>
        <v>#N/A</v>
      </c>
      <c r="AA63" s="15" t="e">
        <f t="shared" si="52"/>
        <v>#N/A</v>
      </c>
      <c r="AB63" s="33" t="e">
        <f t="shared" si="53"/>
        <v>#N/A</v>
      </c>
    </row>
    <row r="64" spans="1:28" ht="13.5" x14ac:dyDescent="0.25">
      <c r="A64" s="160" t="str">
        <f t="array" ref="A64">IFERROR(INDEX('Espesor E3'!A19:A68, SMALL(IF('Espesor E3'!J19:J68&gt;=0.2, ROW('Espesor E3'!J19:J68)-ROW('Espesor E3'!A19)+1), ROW(11:11))), "N/A")</f>
        <v>N/A</v>
      </c>
      <c r="B64" s="72" t="e">
        <f>VLOOKUP($A64,'Espesor E3'!$A$9:$J$58,2,FALSE)</f>
        <v>#N/A</v>
      </c>
      <c r="C64" s="72" t="e">
        <f>VLOOKUP($A64,'Espesor E3'!$A$9:$J$58,3,FALSE)</f>
        <v>#N/A</v>
      </c>
      <c r="D64" s="32" t="e">
        <f>VLOOKUP($A64,'Espesor E3'!$A$9:$J$58,4,FALSE)</f>
        <v>#N/A</v>
      </c>
      <c r="E64" s="32" t="e">
        <f>VLOOKUP($A64,'Espesor E3'!$A$9:$J$58,5,FALSE)</f>
        <v>#N/A</v>
      </c>
      <c r="F64" s="32" t="e">
        <f>VLOOKUP($A64,'Espesor E3'!$A$9:$J$58,6,FALSE)</f>
        <v>#N/A</v>
      </c>
      <c r="G64" s="32" t="e">
        <f>VLOOKUP($A64,'Espesor E3'!$A$9:$J$58,7,FALSE)</f>
        <v>#N/A</v>
      </c>
      <c r="H64" s="32" t="e">
        <f t="shared" si="36"/>
        <v>#N/A</v>
      </c>
      <c r="I64" s="4" t="s">
        <v>52</v>
      </c>
      <c r="J64" s="33" t="e">
        <f t="shared" si="37"/>
        <v>#N/A</v>
      </c>
      <c r="K64" s="34" t="e">
        <f>VLOOKUP($A64,'Espesor E3'!$A$9:$J$58,10,FALSE)</f>
        <v>#N/A</v>
      </c>
      <c r="L64" s="34">
        <v>0.05</v>
      </c>
      <c r="M64" s="33" t="e">
        <f t="shared" si="38"/>
        <v>#N/A</v>
      </c>
      <c r="N64" s="33" t="e">
        <f t="shared" si="39"/>
        <v>#N/A</v>
      </c>
      <c r="O64" s="33" t="e">
        <f t="shared" si="40"/>
        <v>#N/A</v>
      </c>
      <c r="P64" s="33" t="e">
        <f t="shared" si="41"/>
        <v>#N/A</v>
      </c>
      <c r="Q64" s="33" t="e">
        <f t="shared" si="42"/>
        <v>#N/A</v>
      </c>
      <c r="R64" s="33" t="e">
        <f t="shared" si="43"/>
        <v>#N/A</v>
      </c>
      <c r="S64" s="35" t="e">
        <f t="shared" si="44"/>
        <v>#N/A</v>
      </c>
      <c r="T64" s="36">
        <f t="shared" si="45"/>
        <v>857500</v>
      </c>
      <c r="U64" s="36">
        <f t="shared" si="46"/>
        <v>857500</v>
      </c>
      <c r="V64" s="33" t="e">
        <f t="shared" si="47"/>
        <v>#N/A</v>
      </c>
      <c r="W64" s="33" t="e">
        <f t="shared" si="48"/>
        <v>#N/A</v>
      </c>
      <c r="X64" s="49" t="e">
        <f t="shared" si="49"/>
        <v>#N/A</v>
      </c>
      <c r="Y64" s="49" t="e">
        <f t="shared" si="50"/>
        <v>#N/A</v>
      </c>
      <c r="Z64" s="36" t="e">
        <f t="shared" si="51"/>
        <v>#N/A</v>
      </c>
      <c r="AA64" s="15" t="e">
        <f t="shared" si="52"/>
        <v>#N/A</v>
      </c>
      <c r="AB64" s="33" t="e">
        <f t="shared" si="53"/>
        <v>#N/A</v>
      </c>
    </row>
    <row r="65" spans="1:28" ht="13.5" x14ac:dyDescent="0.25">
      <c r="A65" s="160" t="str">
        <f t="array" ref="A65">IFERROR(INDEX('Espesor E3'!A20:A69, SMALL(IF('Espesor E3'!J20:J69&gt;=0.2, ROW('Espesor E3'!J20:J69)-ROW('Espesor E3'!A20)+1), ROW(12:12))), "N/A")</f>
        <v>N/A</v>
      </c>
      <c r="B65" s="72" t="e">
        <f>VLOOKUP($A65,'Espesor E3'!$A$9:$J$58,2,FALSE)</f>
        <v>#N/A</v>
      </c>
      <c r="C65" s="72" t="e">
        <f>VLOOKUP($A65,'Espesor E3'!$A$9:$J$58,3,FALSE)</f>
        <v>#N/A</v>
      </c>
      <c r="D65" s="32" t="e">
        <f>VLOOKUP($A65,'Espesor E3'!$A$9:$J$58,4,FALSE)</f>
        <v>#N/A</v>
      </c>
      <c r="E65" s="32" t="e">
        <f>VLOOKUP($A65,'Espesor E3'!$A$9:$J$58,5,FALSE)</f>
        <v>#N/A</v>
      </c>
      <c r="F65" s="32" t="e">
        <f>VLOOKUP($A65,'Espesor E3'!$A$9:$J$58,6,FALSE)</f>
        <v>#N/A</v>
      </c>
      <c r="G65" s="32" t="e">
        <f>VLOOKUP($A65,'Espesor E3'!$A$9:$J$58,7,FALSE)</f>
        <v>#N/A</v>
      </c>
      <c r="H65" s="32" t="e">
        <f t="shared" si="36"/>
        <v>#N/A</v>
      </c>
      <c r="I65" s="4" t="s">
        <v>52</v>
      </c>
      <c r="J65" s="33" t="e">
        <f t="shared" si="37"/>
        <v>#N/A</v>
      </c>
      <c r="K65" s="34" t="e">
        <f>VLOOKUP($A65,'Espesor E3'!$A$9:$J$58,10,FALSE)</f>
        <v>#N/A</v>
      </c>
      <c r="L65" s="34">
        <v>0.05</v>
      </c>
      <c r="M65" s="33" t="e">
        <f t="shared" si="38"/>
        <v>#N/A</v>
      </c>
      <c r="N65" s="33" t="e">
        <f t="shared" si="39"/>
        <v>#N/A</v>
      </c>
      <c r="O65" s="33" t="e">
        <f t="shared" si="40"/>
        <v>#N/A</v>
      </c>
      <c r="P65" s="33" t="e">
        <f t="shared" si="41"/>
        <v>#N/A</v>
      </c>
      <c r="Q65" s="33" t="e">
        <f t="shared" si="42"/>
        <v>#N/A</v>
      </c>
      <c r="R65" s="33" t="e">
        <f t="shared" si="43"/>
        <v>#N/A</v>
      </c>
      <c r="S65" s="35" t="e">
        <f t="shared" si="44"/>
        <v>#N/A</v>
      </c>
      <c r="T65" s="36">
        <f t="shared" si="45"/>
        <v>857500</v>
      </c>
      <c r="U65" s="36">
        <f t="shared" si="46"/>
        <v>857500</v>
      </c>
      <c r="V65" s="33" t="e">
        <f t="shared" si="47"/>
        <v>#N/A</v>
      </c>
      <c r="W65" s="33" t="e">
        <f t="shared" si="48"/>
        <v>#N/A</v>
      </c>
      <c r="X65" s="49" t="e">
        <f t="shared" si="49"/>
        <v>#N/A</v>
      </c>
      <c r="Y65" s="49" t="e">
        <f t="shared" si="50"/>
        <v>#N/A</v>
      </c>
      <c r="Z65" s="36" t="e">
        <f t="shared" si="51"/>
        <v>#N/A</v>
      </c>
      <c r="AA65" s="15" t="e">
        <f t="shared" si="52"/>
        <v>#N/A</v>
      </c>
      <c r="AB65" s="33" t="e">
        <f t="shared" si="53"/>
        <v>#N/A</v>
      </c>
    </row>
    <row r="66" spans="1:28" ht="13.5" x14ac:dyDescent="0.25">
      <c r="A66" s="160" t="str">
        <f t="array" ref="A66">IFERROR(INDEX('Espesor E3'!A21:A70, SMALL(IF('Espesor E3'!J21:J70&gt;=0.2, ROW('Espesor E3'!J21:J70)-ROW('Espesor E3'!A21)+1), ROW(13:13))), "N/A")</f>
        <v>N/A</v>
      </c>
      <c r="B66" s="72" t="e">
        <f>VLOOKUP($A66,'Espesor E3'!$A$9:$J$58,2,FALSE)</f>
        <v>#N/A</v>
      </c>
      <c r="C66" s="72" t="e">
        <f>VLOOKUP($A66,'Espesor E3'!$A$9:$J$58,3,FALSE)</f>
        <v>#N/A</v>
      </c>
      <c r="D66" s="32" t="e">
        <f>VLOOKUP($A66,'Espesor E3'!$A$9:$J$58,4,FALSE)</f>
        <v>#N/A</v>
      </c>
      <c r="E66" s="32" t="e">
        <f>VLOOKUP($A66,'Espesor E3'!$A$9:$J$58,5,FALSE)</f>
        <v>#N/A</v>
      </c>
      <c r="F66" s="32" t="e">
        <f>VLOOKUP($A66,'Espesor E3'!$A$9:$J$58,6,FALSE)</f>
        <v>#N/A</v>
      </c>
      <c r="G66" s="32" t="e">
        <f>VLOOKUP($A66,'Espesor E3'!$A$9:$J$58,7,FALSE)</f>
        <v>#N/A</v>
      </c>
      <c r="H66" s="32" t="e">
        <f t="shared" si="36"/>
        <v>#N/A</v>
      </c>
      <c r="I66" s="4" t="s">
        <v>52</v>
      </c>
      <c r="J66" s="33" t="e">
        <f t="shared" si="37"/>
        <v>#N/A</v>
      </c>
      <c r="K66" s="34" t="e">
        <f>VLOOKUP($A66,'Espesor E3'!$A$9:$J$58,10,FALSE)</f>
        <v>#N/A</v>
      </c>
      <c r="L66" s="34">
        <v>0.05</v>
      </c>
      <c r="M66" s="33" t="e">
        <f t="shared" si="38"/>
        <v>#N/A</v>
      </c>
      <c r="N66" s="33" t="e">
        <f t="shared" si="39"/>
        <v>#N/A</v>
      </c>
      <c r="O66" s="33" t="e">
        <f t="shared" si="40"/>
        <v>#N/A</v>
      </c>
      <c r="P66" s="33" t="e">
        <f t="shared" si="41"/>
        <v>#N/A</v>
      </c>
      <c r="Q66" s="33" t="e">
        <f t="shared" si="42"/>
        <v>#N/A</v>
      </c>
      <c r="R66" s="33" t="e">
        <f t="shared" si="43"/>
        <v>#N/A</v>
      </c>
      <c r="S66" s="35" t="e">
        <f t="shared" si="44"/>
        <v>#N/A</v>
      </c>
      <c r="T66" s="36">
        <f t="shared" si="45"/>
        <v>857500</v>
      </c>
      <c r="U66" s="36">
        <f t="shared" si="46"/>
        <v>857500</v>
      </c>
      <c r="V66" s="33" t="e">
        <f t="shared" si="47"/>
        <v>#N/A</v>
      </c>
      <c r="W66" s="33" t="e">
        <f t="shared" si="48"/>
        <v>#N/A</v>
      </c>
      <c r="X66" s="49" t="e">
        <f t="shared" si="49"/>
        <v>#N/A</v>
      </c>
      <c r="Y66" s="49" t="e">
        <f t="shared" si="50"/>
        <v>#N/A</v>
      </c>
      <c r="Z66" s="36" t="e">
        <f t="shared" si="51"/>
        <v>#N/A</v>
      </c>
      <c r="AA66" s="15" t="e">
        <f t="shared" si="52"/>
        <v>#N/A</v>
      </c>
      <c r="AB66" s="33" t="e">
        <f t="shared" si="53"/>
        <v>#N/A</v>
      </c>
    </row>
    <row r="67" spans="1:28" ht="13.5" x14ac:dyDescent="0.25">
      <c r="A67" s="160" t="str">
        <f t="array" ref="A67">IFERROR(INDEX('Espesor E3'!A22:A71, SMALL(IF('Espesor E3'!J22:J71&gt;=0.2, ROW('Espesor E3'!J22:J71)-ROW('Espesor E3'!A22)+1), ROW(14:14))), "N/A")</f>
        <v>N/A</v>
      </c>
      <c r="B67" s="72" t="e">
        <f>VLOOKUP($A67,'Espesor E3'!$A$9:$J$58,2,FALSE)</f>
        <v>#N/A</v>
      </c>
      <c r="C67" s="72" t="e">
        <f>VLOOKUP($A67,'Espesor E3'!$A$9:$J$58,3,FALSE)</f>
        <v>#N/A</v>
      </c>
      <c r="D67" s="32" t="e">
        <f>VLOOKUP($A67,'Espesor E3'!$A$9:$J$58,4,FALSE)</f>
        <v>#N/A</v>
      </c>
      <c r="E67" s="32" t="e">
        <f>VLOOKUP($A67,'Espesor E3'!$A$9:$J$58,5,FALSE)</f>
        <v>#N/A</v>
      </c>
      <c r="F67" s="32" t="e">
        <f>VLOOKUP($A67,'Espesor E3'!$A$9:$J$58,6,FALSE)</f>
        <v>#N/A</v>
      </c>
      <c r="G67" s="32" t="e">
        <f>VLOOKUP($A67,'Espesor E3'!$A$9:$J$58,7,FALSE)</f>
        <v>#N/A</v>
      </c>
      <c r="H67" s="32" t="e">
        <f t="shared" si="36"/>
        <v>#N/A</v>
      </c>
      <c r="I67" s="4" t="s">
        <v>52</v>
      </c>
      <c r="J67" s="33" t="e">
        <f t="shared" si="37"/>
        <v>#N/A</v>
      </c>
      <c r="K67" s="34" t="e">
        <f>VLOOKUP($A67,'Espesor E3'!$A$9:$J$58,10,FALSE)</f>
        <v>#N/A</v>
      </c>
      <c r="L67" s="34">
        <v>0.05</v>
      </c>
      <c r="M67" s="33" t="e">
        <f t="shared" si="38"/>
        <v>#N/A</v>
      </c>
      <c r="N67" s="33" t="e">
        <f t="shared" si="39"/>
        <v>#N/A</v>
      </c>
      <c r="O67" s="33" t="e">
        <f t="shared" si="40"/>
        <v>#N/A</v>
      </c>
      <c r="P67" s="33" t="e">
        <f t="shared" si="41"/>
        <v>#N/A</v>
      </c>
      <c r="Q67" s="33" t="e">
        <f t="shared" si="42"/>
        <v>#N/A</v>
      </c>
      <c r="R67" s="33" t="e">
        <f t="shared" si="43"/>
        <v>#N/A</v>
      </c>
      <c r="S67" s="35" t="e">
        <f t="shared" si="44"/>
        <v>#N/A</v>
      </c>
      <c r="T67" s="36">
        <f t="shared" si="45"/>
        <v>857500</v>
      </c>
      <c r="U67" s="36">
        <f t="shared" si="46"/>
        <v>857500</v>
      </c>
      <c r="V67" s="33" t="e">
        <f t="shared" si="47"/>
        <v>#N/A</v>
      </c>
      <c r="W67" s="33" t="e">
        <f t="shared" si="48"/>
        <v>#N/A</v>
      </c>
      <c r="X67" s="49" t="e">
        <f t="shared" si="49"/>
        <v>#N/A</v>
      </c>
      <c r="Y67" s="49" t="e">
        <f t="shared" si="50"/>
        <v>#N/A</v>
      </c>
      <c r="Z67" s="36" t="e">
        <f t="shared" si="51"/>
        <v>#N/A</v>
      </c>
      <c r="AA67" s="15" t="e">
        <f t="shared" si="52"/>
        <v>#N/A</v>
      </c>
      <c r="AB67" s="33" t="e">
        <f t="shared" si="53"/>
        <v>#N/A</v>
      </c>
    </row>
    <row r="68" spans="1:28" ht="13.5" x14ac:dyDescent="0.25">
      <c r="A68" s="160" t="str">
        <f t="array" ref="A68">IFERROR(INDEX('Espesor E3'!A23:A72, SMALL(IF('Espesor E3'!J23:J72&gt;=0.2, ROW('Espesor E3'!J23:J72)-ROW('Espesor E3'!A23)+1), ROW(15:15))), "N/A")</f>
        <v>N/A</v>
      </c>
      <c r="B68" s="72" t="e">
        <f>VLOOKUP($A68,'Espesor E3'!$A$9:$J$58,2,FALSE)</f>
        <v>#N/A</v>
      </c>
      <c r="C68" s="72" t="e">
        <f>VLOOKUP($A68,'Espesor E3'!$A$9:$J$58,3,FALSE)</f>
        <v>#N/A</v>
      </c>
      <c r="D68" s="32" t="e">
        <f>VLOOKUP($A68,'Espesor E3'!$A$9:$J$58,4,FALSE)</f>
        <v>#N/A</v>
      </c>
      <c r="E68" s="32" t="e">
        <f>VLOOKUP($A68,'Espesor E3'!$A$9:$J$58,5,FALSE)</f>
        <v>#N/A</v>
      </c>
      <c r="F68" s="32" t="e">
        <f>VLOOKUP($A68,'Espesor E3'!$A$9:$J$58,6,FALSE)</f>
        <v>#N/A</v>
      </c>
      <c r="G68" s="32" t="e">
        <f>VLOOKUP($A68,'Espesor E3'!$A$9:$J$58,7,FALSE)</f>
        <v>#N/A</v>
      </c>
      <c r="H68" s="32" t="e">
        <f t="shared" si="36"/>
        <v>#N/A</v>
      </c>
      <c r="I68" s="4" t="s">
        <v>52</v>
      </c>
      <c r="J68" s="33" t="e">
        <f t="shared" si="37"/>
        <v>#N/A</v>
      </c>
      <c r="K68" s="34" t="e">
        <f>VLOOKUP($A68,'Espesor E3'!$A$9:$J$58,10,FALSE)</f>
        <v>#N/A</v>
      </c>
      <c r="L68" s="34">
        <v>0.05</v>
      </c>
      <c r="M68" s="33" t="e">
        <f t="shared" si="38"/>
        <v>#N/A</v>
      </c>
      <c r="N68" s="33" t="e">
        <f t="shared" si="39"/>
        <v>#N/A</v>
      </c>
      <c r="O68" s="33" t="e">
        <f t="shared" si="40"/>
        <v>#N/A</v>
      </c>
      <c r="P68" s="33" t="e">
        <f t="shared" si="41"/>
        <v>#N/A</v>
      </c>
      <c r="Q68" s="33" t="e">
        <f t="shared" si="42"/>
        <v>#N/A</v>
      </c>
      <c r="R68" s="33" t="e">
        <f t="shared" si="43"/>
        <v>#N/A</v>
      </c>
      <c r="S68" s="35" t="e">
        <f t="shared" si="44"/>
        <v>#N/A</v>
      </c>
      <c r="T68" s="36">
        <f t="shared" si="45"/>
        <v>857500</v>
      </c>
      <c r="U68" s="36">
        <f t="shared" si="46"/>
        <v>857500</v>
      </c>
      <c r="V68" s="33" t="e">
        <f t="shared" si="47"/>
        <v>#N/A</v>
      </c>
      <c r="W68" s="33" t="e">
        <f t="shared" si="48"/>
        <v>#N/A</v>
      </c>
      <c r="X68" s="49" t="e">
        <f t="shared" si="49"/>
        <v>#N/A</v>
      </c>
      <c r="Y68" s="49" t="e">
        <f t="shared" si="50"/>
        <v>#N/A</v>
      </c>
      <c r="Z68" s="36" t="e">
        <f t="shared" si="51"/>
        <v>#N/A</v>
      </c>
      <c r="AA68" s="15" t="e">
        <f t="shared" si="52"/>
        <v>#N/A</v>
      </c>
      <c r="AB68" s="33" t="e">
        <f t="shared" si="53"/>
        <v>#N/A</v>
      </c>
    </row>
    <row r="69" spans="1:28" ht="13.5" x14ac:dyDescent="0.25">
      <c r="A69" s="160" t="str">
        <f t="array" ref="A69">IFERROR(INDEX('Espesor E3'!A24:A73, SMALL(IF('Espesor E3'!J24:J73&gt;=0.2, ROW('Espesor E3'!J24:J73)-ROW('Espesor E3'!A24)+1), ROW(16:16))), "N/A")</f>
        <v>N/A</v>
      </c>
      <c r="B69" s="72" t="e">
        <f>VLOOKUP($A69,'Espesor E3'!$A$9:$J$58,2,FALSE)</f>
        <v>#N/A</v>
      </c>
      <c r="C69" s="72" t="e">
        <f>VLOOKUP($A69,'Espesor E3'!$A$9:$J$58,3,FALSE)</f>
        <v>#N/A</v>
      </c>
      <c r="D69" s="32" t="e">
        <f>VLOOKUP($A69,'Espesor E3'!$A$9:$J$58,4,FALSE)</f>
        <v>#N/A</v>
      </c>
      <c r="E69" s="32" t="e">
        <f>VLOOKUP($A69,'Espesor E3'!$A$9:$J$58,5,FALSE)</f>
        <v>#N/A</v>
      </c>
      <c r="F69" s="32" t="e">
        <f>VLOOKUP($A69,'Espesor E3'!$A$9:$J$58,6,FALSE)</f>
        <v>#N/A</v>
      </c>
      <c r="G69" s="32" t="e">
        <f>VLOOKUP($A69,'Espesor E3'!$A$9:$J$58,7,FALSE)</f>
        <v>#N/A</v>
      </c>
      <c r="H69" s="32" t="e">
        <f t="shared" si="36"/>
        <v>#N/A</v>
      </c>
      <c r="I69" s="4" t="s">
        <v>52</v>
      </c>
      <c r="J69" s="33" t="e">
        <f t="shared" si="37"/>
        <v>#N/A</v>
      </c>
      <c r="K69" s="34" t="e">
        <f>VLOOKUP($A69,'Espesor E3'!$A$9:$J$58,10,FALSE)</f>
        <v>#N/A</v>
      </c>
      <c r="L69" s="34">
        <v>0.05</v>
      </c>
      <c r="M69" s="33" t="e">
        <f t="shared" si="38"/>
        <v>#N/A</v>
      </c>
      <c r="N69" s="33" t="e">
        <f t="shared" si="39"/>
        <v>#N/A</v>
      </c>
      <c r="O69" s="33" t="e">
        <f t="shared" si="40"/>
        <v>#N/A</v>
      </c>
      <c r="P69" s="33" t="e">
        <f t="shared" si="41"/>
        <v>#N/A</v>
      </c>
      <c r="Q69" s="33" t="e">
        <f t="shared" si="42"/>
        <v>#N/A</v>
      </c>
      <c r="R69" s="33" t="e">
        <f t="shared" si="43"/>
        <v>#N/A</v>
      </c>
      <c r="S69" s="35" t="e">
        <f t="shared" si="44"/>
        <v>#N/A</v>
      </c>
      <c r="T69" s="36">
        <f t="shared" si="45"/>
        <v>857500</v>
      </c>
      <c r="U69" s="36">
        <f t="shared" si="46"/>
        <v>857500</v>
      </c>
      <c r="V69" s="33" t="e">
        <f t="shared" si="47"/>
        <v>#N/A</v>
      </c>
      <c r="W69" s="33" t="e">
        <f t="shared" si="48"/>
        <v>#N/A</v>
      </c>
      <c r="X69" s="49" t="e">
        <f t="shared" si="49"/>
        <v>#N/A</v>
      </c>
      <c r="Y69" s="49" t="e">
        <f t="shared" si="50"/>
        <v>#N/A</v>
      </c>
      <c r="Z69" s="36" t="e">
        <f t="shared" si="51"/>
        <v>#N/A</v>
      </c>
      <c r="AA69" s="15" t="e">
        <f t="shared" si="52"/>
        <v>#N/A</v>
      </c>
      <c r="AB69" s="33" t="e">
        <f t="shared" si="53"/>
        <v>#N/A</v>
      </c>
    </row>
    <row r="70" spans="1:28" ht="13.5" x14ac:dyDescent="0.25">
      <c r="A70" s="160" t="str">
        <f t="array" ref="A70">IFERROR(INDEX('Espesor E3'!A25:A74, SMALL(IF('Espesor E3'!J25:J74&gt;=0.2, ROW('Espesor E3'!J25:J74)-ROW('Espesor E3'!A25)+1), ROW(17:17))), "N/A")</f>
        <v>N/A</v>
      </c>
      <c r="B70" s="72" t="e">
        <f>VLOOKUP($A70,'Espesor E3'!$A$9:$J$58,2,FALSE)</f>
        <v>#N/A</v>
      </c>
      <c r="C70" s="72" t="e">
        <f>VLOOKUP($A70,'Espesor E3'!$A$9:$J$58,3,FALSE)</f>
        <v>#N/A</v>
      </c>
      <c r="D70" s="32" t="e">
        <f>VLOOKUP($A70,'Espesor E3'!$A$9:$J$58,4,FALSE)</f>
        <v>#N/A</v>
      </c>
      <c r="E70" s="32" t="e">
        <f>VLOOKUP($A70,'Espesor E3'!$A$9:$J$58,5,FALSE)</f>
        <v>#N/A</v>
      </c>
      <c r="F70" s="32" t="e">
        <f>VLOOKUP($A70,'Espesor E3'!$A$9:$J$58,6,FALSE)</f>
        <v>#N/A</v>
      </c>
      <c r="G70" s="32" t="e">
        <f>VLOOKUP($A70,'Espesor E3'!$A$9:$J$58,7,FALSE)</f>
        <v>#N/A</v>
      </c>
      <c r="H70" s="32" t="e">
        <f t="shared" si="36"/>
        <v>#N/A</v>
      </c>
      <c r="I70" s="4" t="s">
        <v>52</v>
      </c>
      <c r="J70" s="33" t="e">
        <f t="shared" si="37"/>
        <v>#N/A</v>
      </c>
      <c r="K70" s="34" t="e">
        <f>VLOOKUP($A70,'Espesor E3'!$A$9:$J$58,10,FALSE)</f>
        <v>#N/A</v>
      </c>
      <c r="L70" s="34">
        <v>0.05</v>
      </c>
      <c r="M70" s="33" t="e">
        <f t="shared" si="38"/>
        <v>#N/A</v>
      </c>
      <c r="N70" s="33" t="e">
        <f t="shared" si="39"/>
        <v>#N/A</v>
      </c>
      <c r="O70" s="33" t="e">
        <f t="shared" si="40"/>
        <v>#N/A</v>
      </c>
      <c r="P70" s="33" t="e">
        <f t="shared" si="41"/>
        <v>#N/A</v>
      </c>
      <c r="Q70" s="33" t="e">
        <f t="shared" si="42"/>
        <v>#N/A</v>
      </c>
      <c r="R70" s="33" t="e">
        <f t="shared" si="43"/>
        <v>#N/A</v>
      </c>
      <c r="S70" s="35" t="e">
        <f t="shared" si="44"/>
        <v>#N/A</v>
      </c>
      <c r="T70" s="36">
        <f t="shared" si="45"/>
        <v>857500</v>
      </c>
      <c r="U70" s="36">
        <f t="shared" si="46"/>
        <v>857500</v>
      </c>
      <c r="V70" s="33" t="e">
        <f t="shared" si="47"/>
        <v>#N/A</v>
      </c>
      <c r="W70" s="33" t="e">
        <f t="shared" si="48"/>
        <v>#N/A</v>
      </c>
      <c r="X70" s="49" t="e">
        <f t="shared" si="49"/>
        <v>#N/A</v>
      </c>
      <c r="Y70" s="49" t="e">
        <f t="shared" si="50"/>
        <v>#N/A</v>
      </c>
      <c r="Z70" s="36" t="e">
        <f t="shared" si="51"/>
        <v>#N/A</v>
      </c>
      <c r="AA70" s="15" t="e">
        <f t="shared" si="52"/>
        <v>#N/A</v>
      </c>
      <c r="AB70" s="33" t="e">
        <f t="shared" si="53"/>
        <v>#N/A</v>
      </c>
    </row>
    <row r="71" spans="1:28" ht="13.5" x14ac:dyDescent="0.25">
      <c r="A71" s="160" t="str">
        <f t="array" ref="A71">IFERROR(INDEX('Espesor E3'!A26:A75, SMALL(IF('Espesor E3'!J26:J75&gt;=0.2, ROW('Espesor E3'!J26:J75)-ROW('Espesor E3'!A26)+1), ROW(18:18))), "N/A")</f>
        <v>N/A</v>
      </c>
      <c r="B71" s="72" t="e">
        <f>VLOOKUP($A71,'Espesor E3'!$A$9:$J$58,2,FALSE)</f>
        <v>#N/A</v>
      </c>
      <c r="C71" s="72" t="e">
        <f>VLOOKUP($A71,'Espesor E3'!$A$9:$J$58,3,FALSE)</f>
        <v>#N/A</v>
      </c>
      <c r="D71" s="32" t="e">
        <f>VLOOKUP($A71,'Espesor E3'!$A$9:$J$58,4,FALSE)</f>
        <v>#N/A</v>
      </c>
      <c r="E71" s="32" t="e">
        <f>VLOOKUP($A71,'Espesor E3'!$A$9:$J$58,5,FALSE)</f>
        <v>#N/A</v>
      </c>
      <c r="F71" s="32" t="e">
        <f>VLOOKUP($A71,'Espesor E3'!$A$9:$J$58,6,FALSE)</f>
        <v>#N/A</v>
      </c>
      <c r="G71" s="32" t="e">
        <f>VLOOKUP($A71,'Espesor E3'!$A$9:$J$58,7,FALSE)</f>
        <v>#N/A</v>
      </c>
      <c r="H71" s="32" t="e">
        <f t="shared" si="36"/>
        <v>#N/A</v>
      </c>
      <c r="I71" s="4" t="s">
        <v>52</v>
      </c>
      <c r="J71" s="33" t="e">
        <f t="shared" si="37"/>
        <v>#N/A</v>
      </c>
      <c r="K71" s="34" t="e">
        <f>VLOOKUP($A71,'Espesor E3'!$A$9:$J$58,10,FALSE)</f>
        <v>#N/A</v>
      </c>
      <c r="L71" s="34">
        <v>0.05</v>
      </c>
      <c r="M71" s="33" t="e">
        <f t="shared" si="38"/>
        <v>#N/A</v>
      </c>
      <c r="N71" s="33" t="e">
        <f t="shared" si="39"/>
        <v>#N/A</v>
      </c>
      <c r="O71" s="33" t="e">
        <f t="shared" si="40"/>
        <v>#N/A</v>
      </c>
      <c r="P71" s="33" t="e">
        <f t="shared" si="41"/>
        <v>#N/A</v>
      </c>
      <c r="Q71" s="33" t="e">
        <f t="shared" si="42"/>
        <v>#N/A</v>
      </c>
      <c r="R71" s="33" t="e">
        <f t="shared" si="43"/>
        <v>#N/A</v>
      </c>
      <c r="S71" s="35" t="e">
        <f t="shared" si="44"/>
        <v>#N/A</v>
      </c>
      <c r="T71" s="36">
        <f t="shared" si="45"/>
        <v>857500</v>
      </c>
      <c r="U71" s="36">
        <f t="shared" si="46"/>
        <v>857500</v>
      </c>
      <c r="V71" s="33" t="e">
        <f t="shared" si="47"/>
        <v>#N/A</v>
      </c>
      <c r="W71" s="33" t="e">
        <f t="shared" si="48"/>
        <v>#N/A</v>
      </c>
      <c r="X71" s="49" t="e">
        <f t="shared" si="49"/>
        <v>#N/A</v>
      </c>
      <c r="Y71" s="49" t="e">
        <f t="shared" si="50"/>
        <v>#N/A</v>
      </c>
      <c r="Z71" s="36" t="e">
        <f t="shared" si="51"/>
        <v>#N/A</v>
      </c>
      <c r="AA71" s="15" t="e">
        <f t="shared" si="52"/>
        <v>#N/A</v>
      </c>
      <c r="AB71" s="33" t="e">
        <f t="shared" si="53"/>
        <v>#N/A</v>
      </c>
    </row>
    <row r="72" spans="1:28" ht="13.5" x14ac:dyDescent="0.25">
      <c r="A72" s="160" t="str">
        <f t="array" ref="A72">IFERROR(INDEX('Espesor E3'!A27:A76, SMALL(IF('Espesor E3'!J27:J76&gt;=0.2, ROW('Espesor E3'!J27:J76)-ROW('Espesor E3'!A27)+1), ROW(19:19))), "N/A")</f>
        <v>N/A</v>
      </c>
      <c r="B72" s="72" t="e">
        <f>VLOOKUP($A72,'Espesor E3'!$A$9:$J$58,2,FALSE)</f>
        <v>#N/A</v>
      </c>
      <c r="C72" s="72" t="e">
        <f>VLOOKUP($A72,'Espesor E3'!$A$9:$J$58,3,FALSE)</f>
        <v>#N/A</v>
      </c>
      <c r="D72" s="32" t="e">
        <f>VLOOKUP($A72,'Espesor E3'!$A$9:$J$58,4,FALSE)</f>
        <v>#N/A</v>
      </c>
      <c r="E72" s="32" t="e">
        <f>VLOOKUP($A72,'Espesor E3'!$A$9:$J$58,5,FALSE)</f>
        <v>#N/A</v>
      </c>
      <c r="F72" s="32" t="e">
        <f>VLOOKUP($A72,'Espesor E3'!$A$9:$J$58,6,FALSE)</f>
        <v>#N/A</v>
      </c>
      <c r="G72" s="32" t="e">
        <f>VLOOKUP($A72,'Espesor E3'!$A$9:$J$58,7,FALSE)</f>
        <v>#N/A</v>
      </c>
      <c r="H72" s="32" t="e">
        <f t="shared" si="36"/>
        <v>#N/A</v>
      </c>
      <c r="I72" s="4" t="s">
        <v>52</v>
      </c>
      <c r="J72" s="33" t="e">
        <f t="shared" si="37"/>
        <v>#N/A</v>
      </c>
      <c r="K72" s="34" t="e">
        <f>VLOOKUP($A72,'Espesor E3'!$A$9:$J$58,10,FALSE)</f>
        <v>#N/A</v>
      </c>
      <c r="L72" s="34">
        <v>0.05</v>
      </c>
      <c r="M72" s="33" t="e">
        <f t="shared" si="38"/>
        <v>#N/A</v>
      </c>
      <c r="N72" s="33" t="e">
        <f t="shared" si="39"/>
        <v>#N/A</v>
      </c>
      <c r="O72" s="33" t="e">
        <f t="shared" si="40"/>
        <v>#N/A</v>
      </c>
      <c r="P72" s="33" t="e">
        <f t="shared" si="41"/>
        <v>#N/A</v>
      </c>
      <c r="Q72" s="33" t="e">
        <f t="shared" si="42"/>
        <v>#N/A</v>
      </c>
      <c r="R72" s="33" t="e">
        <f t="shared" si="43"/>
        <v>#N/A</v>
      </c>
      <c r="S72" s="35" t="e">
        <f t="shared" si="44"/>
        <v>#N/A</v>
      </c>
      <c r="T72" s="36">
        <f t="shared" si="45"/>
        <v>857500</v>
      </c>
      <c r="U72" s="36">
        <f t="shared" si="46"/>
        <v>857500</v>
      </c>
      <c r="V72" s="33" t="e">
        <f t="shared" si="47"/>
        <v>#N/A</v>
      </c>
      <c r="W72" s="33" t="e">
        <f t="shared" si="48"/>
        <v>#N/A</v>
      </c>
      <c r="X72" s="49" t="e">
        <f t="shared" si="49"/>
        <v>#N/A</v>
      </c>
      <c r="Y72" s="49" t="e">
        <f t="shared" si="50"/>
        <v>#N/A</v>
      </c>
      <c r="Z72" s="36" t="e">
        <f t="shared" si="51"/>
        <v>#N/A</v>
      </c>
      <c r="AA72" s="15" t="e">
        <f t="shared" si="52"/>
        <v>#N/A</v>
      </c>
      <c r="AB72" s="33" t="e">
        <f t="shared" si="53"/>
        <v>#N/A</v>
      </c>
    </row>
    <row r="73" spans="1:28" ht="13.5" x14ac:dyDescent="0.25">
      <c r="A73" s="160" t="str">
        <f t="array" ref="A73">IFERROR(INDEX('Espesor E3'!A28:A77, SMALL(IF('Espesor E3'!J28:J77&gt;=0.2, ROW('Espesor E3'!J28:J77)-ROW('Espesor E3'!A28)+1), ROW(20:20))), "N/A")</f>
        <v>N/A</v>
      </c>
      <c r="B73" s="72" t="e">
        <f>VLOOKUP($A73,'Espesor E3'!$A$9:$J$58,2,FALSE)</f>
        <v>#N/A</v>
      </c>
      <c r="C73" s="72" t="e">
        <f>VLOOKUP($A73,'Espesor E3'!$A$9:$J$58,3,FALSE)</f>
        <v>#N/A</v>
      </c>
      <c r="D73" s="32" t="e">
        <f>VLOOKUP($A73,'Espesor E3'!$A$9:$J$58,4,FALSE)</f>
        <v>#N/A</v>
      </c>
      <c r="E73" s="32" t="e">
        <f>VLOOKUP($A73,'Espesor E3'!$A$9:$J$58,5,FALSE)</f>
        <v>#N/A</v>
      </c>
      <c r="F73" s="32" t="e">
        <f>VLOOKUP($A73,'Espesor E3'!$A$9:$J$58,6,FALSE)</f>
        <v>#N/A</v>
      </c>
      <c r="G73" s="32" t="e">
        <f>VLOOKUP($A73,'Espesor E3'!$A$9:$J$58,7,FALSE)</f>
        <v>#N/A</v>
      </c>
      <c r="H73" s="32" t="e">
        <f t="shared" si="36"/>
        <v>#N/A</v>
      </c>
      <c r="I73" s="4" t="s">
        <v>52</v>
      </c>
      <c r="J73" s="33" t="e">
        <f t="shared" si="37"/>
        <v>#N/A</v>
      </c>
      <c r="K73" s="34" t="e">
        <f>VLOOKUP($A73,'Espesor E3'!$A$9:$J$58,10,FALSE)</f>
        <v>#N/A</v>
      </c>
      <c r="L73" s="34">
        <v>0.05</v>
      </c>
      <c r="M73" s="33" t="e">
        <f t="shared" si="38"/>
        <v>#N/A</v>
      </c>
      <c r="N73" s="33" t="e">
        <f t="shared" si="39"/>
        <v>#N/A</v>
      </c>
      <c r="O73" s="33" t="e">
        <f t="shared" si="40"/>
        <v>#N/A</v>
      </c>
      <c r="P73" s="33" t="e">
        <f t="shared" si="41"/>
        <v>#N/A</v>
      </c>
      <c r="Q73" s="33" t="e">
        <f t="shared" si="42"/>
        <v>#N/A</v>
      </c>
      <c r="R73" s="33" t="e">
        <f t="shared" si="43"/>
        <v>#N/A</v>
      </c>
      <c r="S73" s="35" t="e">
        <f t="shared" si="44"/>
        <v>#N/A</v>
      </c>
      <c r="T73" s="36">
        <f t="shared" si="45"/>
        <v>857500</v>
      </c>
      <c r="U73" s="36">
        <f t="shared" si="46"/>
        <v>857500</v>
      </c>
      <c r="V73" s="33" t="e">
        <f t="shared" si="47"/>
        <v>#N/A</v>
      </c>
      <c r="W73" s="33" t="e">
        <f t="shared" si="48"/>
        <v>#N/A</v>
      </c>
      <c r="X73" s="49" t="e">
        <f t="shared" si="49"/>
        <v>#N/A</v>
      </c>
      <c r="Y73" s="49" t="e">
        <f t="shared" si="50"/>
        <v>#N/A</v>
      </c>
      <c r="Z73" s="36" t="e">
        <f t="shared" si="51"/>
        <v>#N/A</v>
      </c>
      <c r="AA73" s="15" t="e">
        <f t="shared" si="52"/>
        <v>#N/A</v>
      </c>
      <c r="AB73" s="33" t="e">
        <f t="shared" si="53"/>
        <v>#N/A</v>
      </c>
    </row>
    <row r="74" spans="1:28" x14ac:dyDescent="0.2">
      <c r="A74" s="165" t="str">
        <f ca="1">REPT('Espesor E4'!AC2,65)</f>
        <v xml:space="preserve">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 E4 /</v>
      </c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</row>
    <row r="75" spans="1:28" ht="13.5" x14ac:dyDescent="0.25">
      <c r="A75" s="160" t="str">
        <f t="array" ref="A75">IFERROR(INDEX('Espesor E4'!A9:A58, SMALL(IF('Espesor E4'!J9:J58&gt;=0.2, ROW('Espesor E4'!J9:J58)-ROW('Espesor E4'!A9)+1), ROW(1:1))), "N/A")</f>
        <v>N/A</v>
      </c>
      <c r="B75" s="72" t="e">
        <f>VLOOKUP($A75,'Espesor E4'!$A$9:$J$58,2,FALSE)</f>
        <v>#N/A</v>
      </c>
      <c r="C75" s="72" t="e">
        <f>VLOOKUP($A75,'Espesor E4'!$A$9:$J$58,3,FALSE)</f>
        <v>#N/A</v>
      </c>
      <c r="D75" s="32" t="e">
        <f>VLOOKUP($A75,'Espesor E4'!$A$9:$J$58,4,FALSE)</f>
        <v>#N/A</v>
      </c>
      <c r="E75" s="32" t="e">
        <f>VLOOKUP($A75,'Espesor E4'!$A$9:$J$58,5,FALSE)</f>
        <v>#N/A</v>
      </c>
      <c r="F75" s="32" t="e">
        <f>VLOOKUP($A75,'Espesor E4'!$A$9:$J$58,6,FALSE)</f>
        <v>#N/A</v>
      </c>
      <c r="G75" s="32" t="e">
        <f>VLOOKUP($A75,'Espesor E4'!$A$9:$J$58,7,FALSE)</f>
        <v>#N/A</v>
      </c>
      <c r="H75" s="32" t="e">
        <f>IF(D75="2D",(F75*(0.8+($C$8/14000)))/(36+9*G75),F75/E75)</f>
        <v>#N/A</v>
      </c>
      <c r="I75" s="4" t="s">
        <v>52</v>
      </c>
      <c r="J75" s="33" t="e">
        <f>MAX(0.12,H75)</f>
        <v>#N/A</v>
      </c>
      <c r="K75" s="34" t="e">
        <f>VLOOKUP($A75,'Espesor E4'!$A$9:$J$58,10,FALSE)</f>
        <v>#N/A</v>
      </c>
      <c r="L75" s="34">
        <v>0.05</v>
      </c>
      <c r="M75" s="33" t="e">
        <f>IF(D75="2D",IF(B75&lt;C75,INT(B75/($N$3+$N$5)),INT(B75/($N$3+$N$4))),IF(B75&gt;C75,INT(B75/($L$3+$L$4)),INT(B75/$L$5)))</f>
        <v>#N/A</v>
      </c>
      <c r="N75" s="33" t="e">
        <f>IF(D75="2D",IF(C75&lt;B75,INT(C75/($N$3+$N$5)),INT(C75/($N$3+$N$4))),IF(C75&gt;B75,INT(C75/($L$3+$L$4)),INT(C75/$L$5)))</f>
        <v>#N/A</v>
      </c>
      <c r="O75" s="33" t="e">
        <f>M75*N75</f>
        <v>#N/A</v>
      </c>
      <c r="P75" s="33" t="e">
        <f>O75*(IF(D75="1D",($L$4*$L$5),($N$4*$N$5)))*(K75-L75)</f>
        <v>#N/A</v>
      </c>
      <c r="Q75" s="33" t="e">
        <f>K75*B75*C75</f>
        <v>#N/A</v>
      </c>
      <c r="R75" s="33" t="e">
        <f>Q75-P75</f>
        <v>#N/A</v>
      </c>
      <c r="S75" s="35" t="e">
        <f>R75/(B75*C75)</f>
        <v>#N/A</v>
      </c>
      <c r="T75" s="36">
        <f>$T$7*$T$8*$T$8*$T$8/12</f>
        <v>857500</v>
      </c>
      <c r="U75" s="36">
        <f>T75</f>
        <v>857500</v>
      </c>
      <c r="V75" s="33" t="e">
        <f>(C75*100/2)*(J75*J75*J75*1000000)/12</f>
        <v>#N/A</v>
      </c>
      <c r="W75" s="33" t="e">
        <f>(B75*100/2)*(J75*J75*J75*1000000)/12</f>
        <v>#N/A</v>
      </c>
      <c r="X75" s="49" t="e">
        <f>T75/V75</f>
        <v>#N/A</v>
      </c>
      <c r="Y75" s="49" t="e">
        <f>U75/W75</f>
        <v>#N/A</v>
      </c>
      <c r="Z75" s="36" t="e">
        <f>(X75*2+Y75*2)/4</f>
        <v>#N/A</v>
      </c>
      <c r="AA75" s="15" t="e">
        <f>IF(Z75&gt;2,"OK","CHK")</f>
        <v>#N/A</v>
      </c>
      <c r="AB75" s="33" t="e">
        <f>(F75*(0.8+($C$9/14000)))/(36+5*G75*(0.2-0.12))</f>
        <v>#N/A</v>
      </c>
    </row>
    <row r="76" spans="1:28" ht="13.5" x14ac:dyDescent="0.25">
      <c r="A76" s="160" t="str">
        <f t="array" ref="A76">IFERROR(INDEX('Espesor E4'!A10:A59, SMALL(IF('Espesor E4'!J10:J59&gt;=0.2, ROW('Espesor E4'!J10:J59)-ROW('Espesor E4'!A10)+1), ROW(2:2))), "N/A")</f>
        <v>N/A</v>
      </c>
      <c r="B76" s="72" t="e">
        <f>VLOOKUP($A76,'Espesor E4'!$A$9:$J$58,2,FALSE)</f>
        <v>#N/A</v>
      </c>
      <c r="C76" s="72" t="e">
        <f>VLOOKUP($A76,'Espesor E4'!$A$9:$J$58,3,FALSE)</f>
        <v>#N/A</v>
      </c>
      <c r="D76" s="32" t="e">
        <f>VLOOKUP($A76,'Espesor E4'!$A$9:$J$58,4,FALSE)</f>
        <v>#N/A</v>
      </c>
      <c r="E76" s="32" t="e">
        <f>VLOOKUP($A76,'Espesor E4'!$A$9:$J$58,5,FALSE)</f>
        <v>#N/A</v>
      </c>
      <c r="F76" s="32" t="e">
        <f>VLOOKUP($A76,'Espesor E4'!$A$9:$J$58,6,FALSE)</f>
        <v>#N/A</v>
      </c>
      <c r="G76" s="32" t="e">
        <f>VLOOKUP($A76,'Espesor E4'!$A$9:$J$58,7,FALSE)</f>
        <v>#N/A</v>
      </c>
      <c r="H76" s="32" t="e">
        <f t="shared" ref="H76:H94" si="54">IF(D76="2D",(F76*(0.8+($C$8/14000)))/(36+9*G76),F76/E76)</f>
        <v>#N/A</v>
      </c>
      <c r="I76" s="4" t="s">
        <v>52</v>
      </c>
      <c r="J76" s="33" t="e">
        <f t="shared" ref="J76:J94" si="55">MAX(0.12,H76)</f>
        <v>#N/A</v>
      </c>
      <c r="K76" s="34" t="e">
        <f>VLOOKUP($A76,'Espesor E4'!$A$9:$J$58,10,FALSE)</f>
        <v>#N/A</v>
      </c>
      <c r="L76" s="34">
        <v>0.05</v>
      </c>
      <c r="M76" s="33" t="e">
        <f t="shared" ref="M76:M94" si="56">IF(D76="2D",IF(B76&lt;C76,INT(B76/($N$3+$N$5)),INT(B76/($N$3+$N$4))),IF(B76&gt;C76,INT(B76/($L$3+$L$4)),INT(B76/$L$5)))</f>
        <v>#N/A</v>
      </c>
      <c r="N76" s="33" t="e">
        <f t="shared" ref="N76:N94" si="57">IF(D76="2D",IF(C76&lt;B76,INT(C76/($N$3+$N$5)),INT(C76/($N$3+$N$4))),IF(C76&gt;B76,INT(C76/($L$3+$L$4)),INT(C76/$L$5)))</f>
        <v>#N/A</v>
      </c>
      <c r="O76" s="33" t="e">
        <f t="shared" ref="O76:O94" si="58">M76*N76</f>
        <v>#N/A</v>
      </c>
      <c r="P76" s="33" t="e">
        <f t="shared" ref="P76:P94" si="59">O76*(IF(D76="1D",($L$4*$L$5),($N$4*$N$5)))*(K76-L76)</f>
        <v>#N/A</v>
      </c>
      <c r="Q76" s="33" t="e">
        <f t="shared" ref="Q76:Q94" si="60">K76*B76*C76</f>
        <v>#N/A</v>
      </c>
      <c r="R76" s="33" t="e">
        <f t="shared" ref="R76:R94" si="61">Q76-P76</f>
        <v>#N/A</v>
      </c>
      <c r="S76" s="35" t="e">
        <f t="shared" ref="S76:S94" si="62">R76/(B76*C76)</f>
        <v>#N/A</v>
      </c>
      <c r="T76" s="36">
        <f t="shared" ref="T76:T94" si="63">$T$7*$T$8*$T$8*$T$8/12</f>
        <v>857500</v>
      </c>
      <c r="U76" s="36">
        <f t="shared" ref="U76:U94" si="64">T76</f>
        <v>857500</v>
      </c>
      <c r="V76" s="33" t="e">
        <f t="shared" ref="V76:V94" si="65">(C76*100/2)*(J76*J76*J76*1000000)/12</f>
        <v>#N/A</v>
      </c>
      <c r="W76" s="33" t="e">
        <f t="shared" ref="W76:W94" si="66">(B76*100/2)*(J76*J76*J76*1000000)/12</f>
        <v>#N/A</v>
      </c>
      <c r="X76" s="49" t="e">
        <f t="shared" ref="X76:X94" si="67">T76/V76</f>
        <v>#N/A</v>
      </c>
      <c r="Y76" s="49" t="e">
        <f t="shared" ref="Y76:Y94" si="68">U76/W76</f>
        <v>#N/A</v>
      </c>
      <c r="Z76" s="36" t="e">
        <f t="shared" ref="Z76:Z94" si="69">(X76*2+Y76*2)/4</f>
        <v>#N/A</v>
      </c>
      <c r="AA76" s="15" t="e">
        <f t="shared" ref="AA76:AA94" si="70">IF(Z76&gt;2,"OK","CHK")</f>
        <v>#N/A</v>
      </c>
      <c r="AB76" s="33" t="e">
        <f t="shared" ref="AB76:AB94" si="71">(F76*(0.8+($C$9/14000)))/(36+5*G76*(0.2-0.12))</f>
        <v>#N/A</v>
      </c>
    </row>
    <row r="77" spans="1:28" ht="13.5" x14ac:dyDescent="0.25">
      <c r="A77" s="160" t="str">
        <f t="array" ref="A77">IFERROR(INDEX('Espesor E4'!A11:A60, SMALL(IF('Espesor E4'!J11:J60&gt;=0.2, ROW('Espesor E4'!J11:J60)-ROW('Espesor E4'!A11)+1), ROW(3:3))), "N/A")</f>
        <v>N/A</v>
      </c>
      <c r="B77" s="72" t="e">
        <f>VLOOKUP($A77,'Espesor E4'!$A$9:$J$58,2,FALSE)</f>
        <v>#N/A</v>
      </c>
      <c r="C77" s="72" t="e">
        <f>VLOOKUP($A77,'Espesor E4'!$A$9:$J$58,3,FALSE)</f>
        <v>#N/A</v>
      </c>
      <c r="D77" s="32" t="e">
        <f>VLOOKUP($A77,'Espesor E4'!$A$9:$J$58,4,FALSE)</f>
        <v>#N/A</v>
      </c>
      <c r="E77" s="32" t="e">
        <f>VLOOKUP($A77,'Espesor E4'!$A$9:$J$58,5,FALSE)</f>
        <v>#N/A</v>
      </c>
      <c r="F77" s="32" t="e">
        <f>VLOOKUP($A77,'Espesor E4'!$A$9:$J$58,6,FALSE)</f>
        <v>#N/A</v>
      </c>
      <c r="G77" s="32" t="e">
        <f>VLOOKUP($A77,'Espesor E4'!$A$9:$J$58,7,FALSE)</f>
        <v>#N/A</v>
      </c>
      <c r="H77" s="32" t="e">
        <f t="shared" si="54"/>
        <v>#N/A</v>
      </c>
      <c r="I77" s="4" t="s">
        <v>52</v>
      </c>
      <c r="J77" s="33" t="e">
        <f t="shared" si="55"/>
        <v>#N/A</v>
      </c>
      <c r="K77" s="34" t="e">
        <f>VLOOKUP($A77,'Espesor E4'!$A$9:$J$58,10,FALSE)</f>
        <v>#N/A</v>
      </c>
      <c r="L77" s="34">
        <v>0.05</v>
      </c>
      <c r="M77" s="33" t="e">
        <f t="shared" si="56"/>
        <v>#N/A</v>
      </c>
      <c r="N77" s="33" t="e">
        <f t="shared" si="57"/>
        <v>#N/A</v>
      </c>
      <c r="O77" s="33" t="e">
        <f t="shared" si="58"/>
        <v>#N/A</v>
      </c>
      <c r="P77" s="33" t="e">
        <f t="shared" si="59"/>
        <v>#N/A</v>
      </c>
      <c r="Q77" s="33" t="e">
        <f t="shared" si="60"/>
        <v>#N/A</v>
      </c>
      <c r="R77" s="33" t="e">
        <f t="shared" si="61"/>
        <v>#N/A</v>
      </c>
      <c r="S77" s="35" t="e">
        <f t="shared" si="62"/>
        <v>#N/A</v>
      </c>
      <c r="T77" s="36">
        <f t="shared" si="63"/>
        <v>857500</v>
      </c>
      <c r="U77" s="36">
        <f t="shared" si="64"/>
        <v>857500</v>
      </c>
      <c r="V77" s="33" t="e">
        <f t="shared" si="65"/>
        <v>#N/A</v>
      </c>
      <c r="W77" s="33" t="e">
        <f t="shared" si="66"/>
        <v>#N/A</v>
      </c>
      <c r="X77" s="49" t="e">
        <f t="shared" si="67"/>
        <v>#N/A</v>
      </c>
      <c r="Y77" s="49" t="e">
        <f t="shared" si="68"/>
        <v>#N/A</v>
      </c>
      <c r="Z77" s="36" t="e">
        <f t="shared" si="69"/>
        <v>#N/A</v>
      </c>
      <c r="AA77" s="15" t="e">
        <f t="shared" si="70"/>
        <v>#N/A</v>
      </c>
      <c r="AB77" s="33" t="e">
        <f t="shared" si="71"/>
        <v>#N/A</v>
      </c>
    </row>
    <row r="78" spans="1:28" ht="13.5" x14ac:dyDescent="0.25">
      <c r="A78" s="160" t="str">
        <f t="array" ref="A78">IFERROR(INDEX('Espesor E4'!A12:A61, SMALL(IF('Espesor E4'!J12:J61&gt;=0.2, ROW('Espesor E4'!J12:J61)-ROW('Espesor E4'!A12)+1), ROW(4:4))), "N/A")</f>
        <v>N/A</v>
      </c>
      <c r="B78" s="72" t="e">
        <f>VLOOKUP($A78,'Espesor E4'!$A$9:$J$58,2,FALSE)</f>
        <v>#N/A</v>
      </c>
      <c r="C78" s="72" t="e">
        <f>VLOOKUP($A78,'Espesor E4'!$A$9:$J$58,3,FALSE)</f>
        <v>#N/A</v>
      </c>
      <c r="D78" s="32" t="e">
        <f>VLOOKUP($A78,'Espesor E4'!$A$9:$J$58,4,FALSE)</f>
        <v>#N/A</v>
      </c>
      <c r="E78" s="32" t="e">
        <f>VLOOKUP($A78,'Espesor E4'!$A$9:$J$58,5,FALSE)</f>
        <v>#N/A</v>
      </c>
      <c r="F78" s="32" t="e">
        <f>VLOOKUP($A78,'Espesor E4'!$A$9:$J$58,6,FALSE)</f>
        <v>#N/A</v>
      </c>
      <c r="G78" s="32" t="e">
        <f>VLOOKUP($A78,'Espesor E4'!$A$9:$J$58,7,FALSE)</f>
        <v>#N/A</v>
      </c>
      <c r="H78" s="32" t="e">
        <f t="shared" si="54"/>
        <v>#N/A</v>
      </c>
      <c r="I78" s="4" t="s">
        <v>52</v>
      </c>
      <c r="J78" s="33" t="e">
        <f t="shared" si="55"/>
        <v>#N/A</v>
      </c>
      <c r="K78" s="34" t="e">
        <f>VLOOKUP($A78,'Espesor E4'!$A$9:$J$58,10,FALSE)</f>
        <v>#N/A</v>
      </c>
      <c r="L78" s="34">
        <v>0.05</v>
      </c>
      <c r="M78" s="33" t="e">
        <f t="shared" si="56"/>
        <v>#N/A</v>
      </c>
      <c r="N78" s="33" t="e">
        <f t="shared" si="57"/>
        <v>#N/A</v>
      </c>
      <c r="O78" s="33" t="e">
        <f t="shared" si="58"/>
        <v>#N/A</v>
      </c>
      <c r="P78" s="33" t="e">
        <f t="shared" si="59"/>
        <v>#N/A</v>
      </c>
      <c r="Q78" s="33" t="e">
        <f t="shared" si="60"/>
        <v>#N/A</v>
      </c>
      <c r="R78" s="33" t="e">
        <f t="shared" si="61"/>
        <v>#N/A</v>
      </c>
      <c r="S78" s="35" t="e">
        <f t="shared" si="62"/>
        <v>#N/A</v>
      </c>
      <c r="T78" s="36">
        <f t="shared" si="63"/>
        <v>857500</v>
      </c>
      <c r="U78" s="36">
        <f t="shared" si="64"/>
        <v>857500</v>
      </c>
      <c r="V78" s="33" t="e">
        <f t="shared" si="65"/>
        <v>#N/A</v>
      </c>
      <c r="W78" s="33" t="e">
        <f t="shared" si="66"/>
        <v>#N/A</v>
      </c>
      <c r="X78" s="49" t="e">
        <f t="shared" si="67"/>
        <v>#N/A</v>
      </c>
      <c r="Y78" s="49" t="e">
        <f t="shared" si="68"/>
        <v>#N/A</v>
      </c>
      <c r="Z78" s="36" t="e">
        <f t="shared" si="69"/>
        <v>#N/A</v>
      </c>
      <c r="AA78" s="15" t="e">
        <f t="shared" si="70"/>
        <v>#N/A</v>
      </c>
      <c r="AB78" s="33" t="e">
        <f t="shared" si="71"/>
        <v>#N/A</v>
      </c>
    </row>
    <row r="79" spans="1:28" ht="13.5" x14ac:dyDescent="0.25">
      <c r="A79" s="160" t="str">
        <f t="array" ref="A79">IFERROR(INDEX('Espesor E4'!A13:A62, SMALL(IF('Espesor E4'!J13:J62&gt;=0.2, ROW('Espesor E4'!J13:J62)-ROW('Espesor E4'!A13)+1), ROW(5:5))), "N/A")</f>
        <v>N/A</v>
      </c>
      <c r="B79" s="72" t="e">
        <f>VLOOKUP($A79,'Espesor E4'!$A$9:$J$58,2,FALSE)</f>
        <v>#N/A</v>
      </c>
      <c r="C79" s="72" t="e">
        <f>VLOOKUP($A79,'Espesor E4'!$A$9:$J$58,3,FALSE)</f>
        <v>#N/A</v>
      </c>
      <c r="D79" s="32" t="e">
        <f>VLOOKUP($A79,'Espesor E4'!$A$9:$J$58,4,FALSE)</f>
        <v>#N/A</v>
      </c>
      <c r="E79" s="32" t="e">
        <f>VLOOKUP($A79,'Espesor E4'!$A$9:$J$58,5,FALSE)</f>
        <v>#N/A</v>
      </c>
      <c r="F79" s="32" t="e">
        <f>VLOOKUP($A79,'Espesor E4'!$A$9:$J$58,6,FALSE)</f>
        <v>#N/A</v>
      </c>
      <c r="G79" s="32" t="e">
        <f>VLOOKUP($A79,'Espesor E4'!$A$9:$J$58,7,FALSE)</f>
        <v>#N/A</v>
      </c>
      <c r="H79" s="32" t="e">
        <f t="shared" si="54"/>
        <v>#N/A</v>
      </c>
      <c r="I79" s="4" t="s">
        <v>52</v>
      </c>
      <c r="J79" s="33" t="e">
        <f t="shared" si="55"/>
        <v>#N/A</v>
      </c>
      <c r="K79" s="34" t="e">
        <f>VLOOKUP($A79,'Espesor E4'!$A$9:$J$58,10,FALSE)</f>
        <v>#N/A</v>
      </c>
      <c r="L79" s="34">
        <v>0.05</v>
      </c>
      <c r="M79" s="33" t="e">
        <f t="shared" si="56"/>
        <v>#N/A</v>
      </c>
      <c r="N79" s="33" t="e">
        <f t="shared" si="57"/>
        <v>#N/A</v>
      </c>
      <c r="O79" s="33" t="e">
        <f t="shared" si="58"/>
        <v>#N/A</v>
      </c>
      <c r="P79" s="33" t="e">
        <f t="shared" si="59"/>
        <v>#N/A</v>
      </c>
      <c r="Q79" s="33" t="e">
        <f t="shared" si="60"/>
        <v>#N/A</v>
      </c>
      <c r="R79" s="33" t="e">
        <f t="shared" si="61"/>
        <v>#N/A</v>
      </c>
      <c r="S79" s="35" t="e">
        <f t="shared" si="62"/>
        <v>#N/A</v>
      </c>
      <c r="T79" s="36">
        <f t="shared" si="63"/>
        <v>857500</v>
      </c>
      <c r="U79" s="36">
        <f t="shared" si="64"/>
        <v>857500</v>
      </c>
      <c r="V79" s="33" t="e">
        <f t="shared" si="65"/>
        <v>#N/A</v>
      </c>
      <c r="W79" s="33" t="e">
        <f t="shared" si="66"/>
        <v>#N/A</v>
      </c>
      <c r="X79" s="49" t="e">
        <f t="shared" si="67"/>
        <v>#N/A</v>
      </c>
      <c r="Y79" s="49" t="e">
        <f t="shared" si="68"/>
        <v>#N/A</v>
      </c>
      <c r="Z79" s="36" t="e">
        <f t="shared" si="69"/>
        <v>#N/A</v>
      </c>
      <c r="AA79" s="15" t="e">
        <f t="shared" si="70"/>
        <v>#N/A</v>
      </c>
      <c r="AB79" s="33" t="e">
        <f t="shared" si="71"/>
        <v>#N/A</v>
      </c>
    </row>
    <row r="80" spans="1:28" ht="13.5" x14ac:dyDescent="0.25">
      <c r="A80" s="160" t="str">
        <f t="array" ref="A80">IFERROR(INDEX('Espesor E4'!A14:A63, SMALL(IF('Espesor E4'!J14:J63&gt;=0.2, ROW('Espesor E4'!J14:J63)-ROW('Espesor E4'!A14)+1), ROW(6:6))), "N/A")</f>
        <v>N/A</v>
      </c>
      <c r="B80" s="72" t="e">
        <f>VLOOKUP($A80,'Espesor E4'!$A$9:$J$58,2,FALSE)</f>
        <v>#N/A</v>
      </c>
      <c r="C80" s="72" t="e">
        <f>VLOOKUP($A80,'Espesor E4'!$A$9:$J$58,3,FALSE)</f>
        <v>#N/A</v>
      </c>
      <c r="D80" s="32" t="e">
        <f>VLOOKUP($A80,'Espesor E4'!$A$9:$J$58,4,FALSE)</f>
        <v>#N/A</v>
      </c>
      <c r="E80" s="32" t="e">
        <f>VLOOKUP($A80,'Espesor E4'!$A$9:$J$58,5,FALSE)</f>
        <v>#N/A</v>
      </c>
      <c r="F80" s="32" t="e">
        <f>VLOOKUP($A80,'Espesor E4'!$A$9:$J$58,6,FALSE)</f>
        <v>#N/A</v>
      </c>
      <c r="G80" s="32" t="e">
        <f>VLOOKUP($A80,'Espesor E4'!$A$9:$J$58,7,FALSE)</f>
        <v>#N/A</v>
      </c>
      <c r="H80" s="32" t="e">
        <f t="shared" si="54"/>
        <v>#N/A</v>
      </c>
      <c r="I80" s="4" t="s">
        <v>52</v>
      </c>
      <c r="J80" s="33" t="e">
        <f t="shared" si="55"/>
        <v>#N/A</v>
      </c>
      <c r="K80" s="34" t="e">
        <f>VLOOKUP($A80,'Espesor E4'!$A$9:$J$58,10,FALSE)</f>
        <v>#N/A</v>
      </c>
      <c r="L80" s="34">
        <v>0.05</v>
      </c>
      <c r="M80" s="33" t="e">
        <f t="shared" si="56"/>
        <v>#N/A</v>
      </c>
      <c r="N80" s="33" t="e">
        <f t="shared" si="57"/>
        <v>#N/A</v>
      </c>
      <c r="O80" s="33" t="e">
        <f t="shared" si="58"/>
        <v>#N/A</v>
      </c>
      <c r="P80" s="33" t="e">
        <f t="shared" si="59"/>
        <v>#N/A</v>
      </c>
      <c r="Q80" s="33" t="e">
        <f t="shared" si="60"/>
        <v>#N/A</v>
      </c>
      <c r="R80" s="33" t="e">
        <f t="shared" si="61"/>
        <v>#N/A</v>
      </c>
      <c r="S80" s="35" t="e">
        <f t="shared" si="62"/>
        <v>#N/A</v>
      </c>
      <c r="T80" s="36">
        <f t="shared" si="63"/>
        <v>857500</v>
      </c>
      <c r="U80" s="36">
        <f t="shared" si="64"/>
        <v>857500</v>
      </c>
      <c r="V80" s="33" t="e">
        <f t="shared" si="65"/>
        <v>#N/A</v>
      </c>
      <c r="W80" s="33" t="e">
        <f t="shared" si="66"/>
        <v>#N/A</v>
      </c>
      <c r="X80" s="49" t="e">
        <f t="shared" si="67"/>
        <v>#N/A</v>
      </c>
      <c r="Y80" s="49" t="e">
        <f t="shared" si="68"/>
        <v>#N/A</v>
      </c>
      <c r="Z80" s="36" t="e">
        <f t="shared" si="69"/>
        <v>#N/A</v>
      </c>
      <c r="AA80" s="15" t="e">
        <f t="shared" si="70"/>
        <v>#N/A</v>
      </c>
      <c r="AB80" s="33" t="e">
        <f t="shared" si="71"/>
        <v>#N/A</v>
      </c>
    </row>
    <row r="81" spans="1:28" ht="13.5" x14ac:dyDescent="0.25">
      <c r="A81" s="160" t="str">
        <f t="array" ref="A81">IFERROR(INDEX('Espesor E4'!A15:A64, SMALL(IF('Espesor E4'!J15:J64&gt;=0.2, ROW('Espesor E4'!J15:J64)-ROW('Espesor E4'!A15)+1), ROW(7:7))), "N/A")</f>
        <v>N/A</v>
      </c>
      <c r="B81" s="72" t="e">
        <f>VLOOKUP($A81,'Espesor E4'!$A$9:$J$58,2,FALSE)</f>
        <v>#N/A</v>
      </c>
      <c r="C81" s="72" t="e">
        <f>VLOOKUP($A81,'Espesor E4'!$A$9:$J$58,3,FALSE)</f>
        <v>#N/A</v>
      </c>
      <c r="D81" s="32" t="e">
        <f>VLOOKUP($A81,'Espesor E4'!$A$9:$J$58,4,FALSE)</f>
        <v>#N/A</v>
      </c>
      <c r="E81" s="32" t="e">
        <f>VLOOKUP($A81,'Espesor E4'!$A$9:$J$58,5,FALSE)</f>
        <v>#N/A</v>
      </c>
      <c r="F81" s="32" t="e">
        <f>VLOOKUP($A81,'Espesor E4'!$A$9:$J$58,6,FALSE)</f>
        <v>#N/A</v>
      </c>
      <c r="G81" s="32" t="e">
        <f>VLOOKUP($A81,'Espesor E4'!$A$9:$J$58,7,FALSE)</f>
        <v>#N/A</v>
      </c>
      <c r="H81" s="32" t="e">
        <f t="shared" si="54"/>
        <v>#N/A</v>
      </c>
      <c r="I81" s="4" t="s">
        <v>52</v>
      </c>
      <c r="J81" s="33" t="e">
        <f t="shared" si="55"/>
        <v>#N/A</v>
      </c>
      <c r="K81" s="34" t="e">
        <f>VLOOKUP($A81,'Espesor E4'!$A$9:$J$58,10,FALSE)</f>
        <v>#N/A</v>
      </c>
      <c r="L81" s="34">
        <v>0.05</v>
      </c>
      <c r="M81" s="33" t="e">
        <f t="shared" si="56"/>
        <v>#N/A</v>
      </c>
      <c r="N81" s="33" t="e">
        <f t="shared" si="57"/>
        <v>#N/A</v>
      </c>
      <c r="O81" s="33" t="e">
        <f t="shared" si="58"/>
        <v>#N/A</v>
      </c>
      <c r="P81" s="33" t="e">
        <f t="shared" si="59"/>
        <v>#N/A</v>
      </c>
      <c r="Q81" s="33" t="e">
        <f t="shared" si="60"/>
        <v>#N/A</v>
      </c>
      <c r="R81" s="33" t="e">
        <f t="shared" si="61"/>
        <v>#N/A</v>
      </c>
      <c r="S81" s="35" t="e">
        <f t="shared" si="62"/>
        <v>#N/A</v>
      </c>
      <c r="T81" s="36">
        <f t="shared" si="63"/>
        <v>857500</v>
      </c>
      <c r="U81" s="36">
        <f t="shared" si="64"/>
        <v>857500</v>
      </c>
      <c r="V81" s="33" t="e">
        <f t="shared" si="65"/>
        <v>#N/A</v>
      </c>
      <c r="W81" s="33" t="e">
        <f t="shared" si="66"/>
        <v>#N/A</v>
      </c>
      <c r="X81" s="49" t="e">
        <f t="shared" si="67"/>
        <v>#N/A</v>
      </c>
      <c r="Y81" s="49" t="e">
        <f t="shared" si="68"/>
        <v>#N/A</v>
      </c>
      <c r="Z81" s="36" t="e">
        <f t="shared" si="69"/>
        <v>#N/A</v>
      </c>
      <c r="AA81" s="15" t="e">
        <f t="shared" si="70"/>
        <v>#N/A</v>
      </c>
      <c r="AB81" s="33" t="e">
        <f t="shared" si="71"/>
        <v>#N/A</v>
      </c>
    </row>
    <row r="82" spans="1:28" ht="13.5" x14ac:dyDescent="0.25">
      <c r="A82" s="160" t="str">
        <f t="array" ref="A82">IFERROR(INDEX('Espesor E4'!A16:A65, SMALL(IF('Espesor E4'!J16:J65&gt;=0.2, ROW('Espesor E4'!J16:J65)-ROW('Espesor E4'!A16)+1), ROW(8:8))), "N/A")</f>
        <v>N/A</v>
      </c>
      <c r="B82" s="72" t="e">
        <f>VLOOKUP($A82,'Espesor E4'!$A$9:$J$58,2,FALSE)</f>
        <v>#N/A</v>
      </c>
      <c r="C82" s="72" t="e">
        <f>VLOOKUP($A82,'Espesor E4'!$A$9:$J$58,3,FALSE)</f>
        <v>#N/A</v>
      </c>
      <c r="D82" s="32" t="e">
        <f>VLOOKUP($A82,'Espesor E4'!$A$9:$J$58,4,FALSE)</f>
        <v>#N/A</v>
      </c>
      <c r="E82" s="32" t="e">
        <f>VLOOKUP($A82,'Espesor E4'!$A$9:$J$58,5,FALSE)</f>
        <v>#N/A</v>
      </c>
      <c r="F82" s="32" t="e">
        <f>VLOOKUP($A82,'Espesor E4'!$A$9:$J$58,6,FALSE)</f>
        <v>#N/A</v>
      </c>
      <c r="G82" s="32" t="e">
        <f>VLOOKUP($A82,'Espesor E4'!$A$9:$J$58,7,FALSE)</f>
        <v>#N/A</v>
      </c>
      <c r="H82" s="32" t="e">
        <f t="shared" si="54"/>
        <v>#N/A</v>
      </c>
      <c r="I82" s="4" t="s">
        <v>52</v>
      </c>
      <c r="J82" s="33" t="e">
        <f t="shared" si="55"/>
        <v>#N/A</v>
      </c>
      <c r="K82" s="34" t="e">
        <f>VLOOKUP($A82,'Espesor E4'!$A$9:$J$58,10,FALSE)</f>
        <v>#N/A</v>
      </c>
      <c r="L82" s="34">
        <v>0.05</v>
      </c>
      <c r="M82" s="33" t="e">
        <f t="shared" si="56"/>
        <v>#N/A</v>
      </c>
      <c r="N82" s="33" t="e">
        <f t="shared" si="57"/>
        <v>#N/A</v>
      </c>
      <c r="O82" s="33" t="e">
        <f t="shared" si="58"/>
        <v>#N/A</v>
      </c>
      <c r="P82" s="33" t="e">
        <f t="shared" si="59"/>
        <v>#N/A</v>
      </c>
      <c r="Q82" s="33" t="e">
        <f t="shared" si="60"/>
        <v>#N/A</v>
      </c>
      <c r="R82" s="33" t="e">
        <f t="shared" si="61"/>
        <v>#N/A</v>
      </c>
      <c r="S82" s="35" t="e">
        <f t="shared" si="62"/>
        <v>#N/A</v>
      </c>
      <c r="T82" s="36">
        <f t="shared" si="63"/>
        <v>857500</v>
      </c>
      <c r="U82" s="36">
        <f t="shared" si="64"/>
        <v>857500</v>
      </c>
      <c r="V82" s="33" t="e">
        <f t="shared" si="65"/>
        <v>#N/A</v>
      </c>
      <c r="W82" s="33" t="e">
        <f t="shared" si="66"/>
        <v>#N/A</v>
      </c>
      <c r="X82" s="49" t="e">
        <f t="shared" si="67"/>
        <v>#N/A</v>
      </c>
      <c r="Y82" s="49" t="e">
        <f t="shared" si="68"/>
        <v>#N/A</v>
      </c>
      <c r="Z82" s="36" t="e">
        <f t="shared" si="69"/>
        <v>#N/A</v>
      </c>
      <c r="AA82" s="15" t="e">
        <f t="shared" si="70"/>
        <v>#N/A</v>
      </c>
      <c r="AB82" s="33" t="e">
        <f t="shared" si="71"/>
        <v>#N/A</v>
      </c>
    </row>
    <row r="83" spans="1:28" ht="13.5" x14ac:dyDescent="0.25">
      <c r="A83" s="160" t="str">
        <f t="array" ref="A83">IFERROR(INDEX('Espesor E4'!A17:A66, SMALL(IF('Espesor E4'!J17:J66&gt;=0.2, ROW('Espesor E4'!J17:J66)-ROW('Espesor E4'!A17)+1), ROW(9:9))), "N/A")</f>
        <v>N/A</v>
      </c>
      <c r="B83" s="72" t="e">
        <f>VLOOKUP($A83,'Espesor E4'!$A$9:$J$58,2,FALSE)</f>
        <v>#N/A</v>
      </c>
      <c r="C83" s="72" t="e">
        <f>VLOOKUP($A83,'Espesor E4'!$A$9:$J$58,3,FALSE)</f>
        <v>#N/A</v>
      </c>
      <c r="D83" s="32" t="e">
        <f>VLOOKUP($A83,'Espesor E4'!$A$9:$J$58,4,FALSE)</f>
        <v>#N/A</v>
      </c>
      <c r="E83" s="32" t="e">
        <f>VLOOKUP($A83,'Espesor E4'!$A$9:$J$58,5,FALSE)</f>
        <v>#N/A</v>
      </c>
      <c r="F83" s="32" t="e">
        <f>VLOOKUP($A83,'Espesor E4'!$A$9:$J$58,6,FALSE)</f>
        <v>#N/A</v>
      </c>
      <c r="G83" s="32" t="e">
        <f>VLOOKUP($A83,'Espesor E4'!$A$9:$J$58,7,FALSE)</f>
        <v>#N/A</v>
      </c>
      <c r="H83" s="32" t="e">
        <f t="shared" si="54"/>
        <v>#N/A</v>
      </c>
      <c r="I83" s="4" t="s">
        <v>52</v>
      </c>
      <c r="J83" s="33" t="e">
        <f t="shared" si="55"/>
        <v>#N/A</v>
      </c>
      <c r="K83" s="34" t="e">
        <f>VLOOKUP($A83,'Espesor E4'!$A$9:$J$58,10,FALSE)</f>
        <v>#N/A</v>
      </c>
      <c r="L83" s="34">
        <v>0.05</v>
      </c>
      <c r="M83" s="33" t="e">
        <f t="shared" si="56"/>
        <v>#N/A</v>
      </c>
      <c r="N83" s="33" t="e">
        <f t="shared" si="57"/>
        <v>#N/A</v>
      </c>
      <c r="O83" s="33" t="e">
        <f t="shared" si="58"/>
        <v>#N/A</v>
      </c>
      <c r="P83" s="33" t="e">
        <f t="shared" si="59"/>
        <v>#N/A</v>
      </c>
      <c r="Q83" s="33" t="e">
        <f t="shared" si="60"/>
        <v>#N/A</v>
      </c>
      <c r="R83" s="33" t="e">
        <f t="shared" si="61"/>
        <v>#N/A</v>
      </c>
      <c r="S83" s="35" t="e">
        <f t="shared" si="62"/>
        <v>#N/A</v>
      </c>
      <c r="T83" s="36">
        <f t="shared" si="63"/>
        <v>857500</v>
      </c>
      <c r="U83" s="36">
        <f t="shared" si="64"/>
        <v>857500</v>
      </c>
      <c r="V83" s="33" t="e">
        <f t="shared" si="65"/>
        <v>#N/A</v>
      </c>
      <c r="W83" s="33" t="e">
        <f t="shared" si="66"/>
        <v>#N/A</v>
      </c>
      <c r="X83" s="49" t="e">
        <f t="shared" si="67"/>
        <v>#N/A</v>
      </c>
      <c r="Y83" s="49" t="e">
        <f t="shared" si="68"/>
        <v>#N/A</v>
      </c>
      <c r="Z83" s="36" t="e">
        <f t="shared" si="69"/>
        <v>#N/A</v>
      </c>
      <c r="AA83" s="15" t="e">
        <f t="shared" si="70"/>
        <v>#N/A</v>
      </c>
      <c r="AB83" s="33" t="e">
        <f t="shared" si="71"/>
        <v>#N/A</v>
      </c>
    </row>
    <row r="84" spans="1:28" ht="13.5" x14ac:dyDescent="0.25">
      <c r="A84" s="160" t="str">
        <f t="array" ref="A84">IFERROR(INDEX('Espesor E4'!A18:A67, SMALL(IF('Espesor E4'!J18:J67&gt;=0.2, ROW('Espesor E4'!J18:J67)-ROW('Espesor E4'!A18)+1), ROW(10:10))), "N/A")</f>
        <v>N/A</v>
      </c>
      <c r="B84" s="72" t="e">
        <f>VLOOKUP($A84,'Espesor E4'!$A$9:$J$58,2,FALSE)</f>
        <v>#N/A</v>
      </c>
      <c r="C84" s="72" t="e">
        <f>VLOOKUP($A84,'Espesor E4'!$A$9:$J$58,3,FALSE)</f>
        <v>#N/A</v>
      </c>
      <c r="D84" s="32" t="e">
        <f>VLOOKUP($A84,'Espesor E4'!$A$9:$J$58,4,FALSE)</f>
        <v>#N/A</v>
      </c>
      <c r="E84" s="32" t="e">
        <f>VLOOKUP($A84,'Espesor E4'!$A$9:$J$58,5,FALSE)</f>
        <v>#N/A</v>
      </c>
      <c r="F84" s="32" t="e">
        <f>VLOOKUP($A84,'Espesor E4'!$A$9:$J$58,6,FALSE)</f>
        <v>#N/A</v>
      </c>
      <c r="G84" s="32" t="e">
        <f>VLOOKUP($A84,'Espesor E4'!$A$9:$J$58,7,FALSE)</f>
        <v>#N/A</v>
      </c>
      <c r="H84" s="32" t="e">
        <f t="shared" si="54"/>
        <v>#N/A</v>
      </c>
      <c r="I84" s="4" t="s">
        <v>52</v>
      </c>
      <c r="J84" s="33" t="e">
        <f t="shared" si="55"/>
        <v>#N/A</v>
      </c>
      <c r="K84" s="34" t="e">
        <f>VLOOKUP($A84,'Espesor E4'!$A$9:$J$58,10,FALSE)</f>
        <v>#N/A</v>
      </c>
      <c r="L84" s="34">
        <v>0.05</v>
      </c>
      <c r="M84" s="33" t="e">
        <f t="shared" si="56"/>
        <v>#N/A</v>
      </c>
      <c r="N84" s="33" t="e">
        <f t="shared" si="57"/>
        <v>#N/A</v>
      </c>
      <c r="O84" s="33" t="e">
        <f t="shared" si="58"/>
        <v>#N/A</v>
      </c>
      <c r="P84" s="33" t="e">
        <f t="shared" si="59"/>
        <v>#N/A</v>
      </c>
      <c r="Q84" s="33" t="e">
        <f t="shared" si="60"/>
        <v>#N/A</v>
      </c>
      <c r="R84" s="33" t="e">
        <f t="shared" si="61"/>
        <v>#N/A</v>
      </c>
      <c r="S84" s="35" t="e">
        <f t="shared" si="62"/>
        <v>#N/A</v>
      </c>
      <c r="T84" s="36">
        <f t="shared" si="63"/>
        <v>857500</v>
      </c>
      <c r="U84" s="36">
        <f t="shared" si="64"/>
        <v>857500</v>
      </c>
      <c r="V84" s="33" t="e">
        <f t="shared" si="65"/>
        <v>#N/A</v>
      </c>
      <c r="W84" s="33" t="e">
        <f t="shared" si="66"/>
        <v>#N/A</v>
      </c>
      <c r="X84" s="49" t="e">
        <f t="shared" si="67"/>
        <v>#N/A</v>
      </c>
      <c r="Y84" s="49" t="e">
        <f t="shared" si="68"/>
        <v>#N/A</v>
      </c>
      <c r="Z84" s="36" t="e">
        <f t="shared" si="69"/>
        <v>#N/A</v>
      </c>
      <c r="AA84" s="15" t="e">
        <f t="shared" si="70"/>
        <v>#N/A</v>
      </c>
      <c r="AB84" s="33" t="e">
        <f t="shared" si="71"/>
        <v>#N/A</v>
      </c>
    </row>
    <row r="85" spans="1:28" ht="13.5" x14ac:dyDescent="0.25">
      <c r="A85" s="160" t="str">
        <f t="array" ref="A85">IFERROR(INDEX('Espesor E4'!A19:A68, SMALL(IF('Espesor E4'!J19:J68&gt;=0.2, ROW('Espesor E4'!J19:J68)-ROW('Espesor E4'!A19)+1), ROW(11:11))), "N/A")</f>
        <v>N/A</v>
      </c>
      <c r="B85" s="72" t="e">
        <f>VLOOKUP($A85,'Espesor E4'!$A$9:$J$58,2,FALSE)</f>
        <v>#N/A</v>
      </c>
      <c r="C85" s="72" t="e">
        <f>VLOOKUP($A85,'Espesor E4'!$A$9:$J$58,3,FALSE)</f>
        <v>#N/A</v>
      </c>
      <c r="D85" s="32" t="e">
        <f>VLOOKUP($A85,'Espesor E4'!$A$9:$J$58,4,FALSE)</f>
        <v>#N/A</v>
      </c>
      <c r="E85" s="32" t="e">
        <f>VLOOKUP($A85,'Espesor E4'!$A$9:$J$58,5,FALSE)</f>
        <v>#N/A</v>
      </c>
      <c r="F85" s="32" t="e">
        <f>VLOOKUP($A85,'Espesor E4'!$A$9:$J$58,6,FALSE)</f>
        <v>#N/A</v>
      </c>
      <c r="G85" s="32" t="e">
        <f>VLOOKUP($A85,'Espesor E4'!$A$9:$J$58,7,FALSE)</f>
        <v>#N/A</v>
      </c>
      <c r="H85" s="32" t="e">
        <f t="shared" si="54"/>
        <v>#N/A</v>
      </c>
      <c r="I85" s="4" t="s">
        <v>52</v>
      </c>
      <c r="J85" s="33" t="e">
        <f t="shared" si="55"/>
        <v>#N/A</v>
      </c>
      <c r="K85" s="34" t="e">
        <f>VLOOKUP($A85,'Espesor E4'!$A$9:$J$58,10,FALSE)</f>
        <v>#N/A</v>
      </c>
      <c r="L85" s="34">
        <v>0.05</v>
      </c>
      <c r="M85" s="33" t="e">
        <f t="shared" si="56"/>
        <v>#N/A</v>
      </c>
      <c r="N85" s="33" t="e">
        <f t="shared" si="57"/>
        <v>#N/A</v>
      </c>
      <c r="O85" s="33" t="e">
        <f t="shared" si="58"/>
        <v>#N/A</v>
      </c>
      <c r="P85" s="33" t="e">
        <f t="shared" si="59"/>
        <v>#N/A</v>
      </c>
      <c r="Q85" s="33" t="e">
        <f t="shared" si="60"/>
        <v>#N/A</v>
      </c>
      <c r="R85" s="33" t="e">
        <f t="shared" si="61"/>
        <v>#N/A</v>
      </c>
      <c r="S85" s="35" t="e">
        <f t="shared" si="62"/>
        <v>#N/A</v>
      </c>
      <c r="T85" s="36">
        <f t="shared" si="63"/>
        <v>857500</v>
      </c>
      <c r="U85" s="36">
        <f t="shared" si="64"/>
        <v>857500</v>
      </c>
      <c r="V85" s="33" t="e">
        <f t="shared" si="65"/>
        <v>#N/A</v>
      </c>
      <c r="W85" s="33" t="e">
        <f t="shared" si="66"/>
        <v>#N/A</v>
      </c>
      <c r="X85" s="49" t="e">
        <f t="shared" si="67"/>
        <v>#N/A</v>
      </c>
      <c r="Y85" s="49" t="e">
        <f t="shared" si="68"/>
        <v>#N/A</v>
      </c>
      <c r="Z85" s="36" t="e">
        <f t="shared" si="69"/>
        <v>#N/A</v>
      </c>
      <c r="AA85" s="15" t="e">
        <f t="shared" si="70"/>
        <v>#N/A</v>
      </c>
      <c r="AB85" s="33" t="e">
        <f t="shared" si="71"/>
        <v>#N/A</v>
      </c>
    </row>
    <row r="86" spans="1:28" ht="13.5" x14ac:dyDescent="0.25">
      <c r="A86" s="160" t="str">
        <f t="array" ref="A86">IFERROR(INDEX('Espesor E4'!A20:A69, SMALL(IF('Espesor E4'!J20:J69&gt;=0.2, ROW('Espesor E4'!J20:J69)-ROW('Espesor E4'!A20)+1), ROW(12:12))), "N/A")</f>
        <v>N/A</v>
      </c>
      <c r="B86" s="72" t="e">
        <f>VLOOKUP($A86,'Espesor E4'!$A$9:$J$58,2,FALSE)</f>
        <v>#N/A</v>
      </c>
      <c r="C86" s="72" t="e">
        <f>VLOOKUP($A86,'Espesor E4'!$A$9:$J$58,3,FALSE)</f>
        <v>#N/A</v>
      </c>
      <c r="D86" s="32" t="e">
        <f>VLOOKUP($A86,'Espesor E4'!$A$9:$J$58,4,FALSE)</f>
        <v>#N/A</v>
      </c>
      <c r="E86" s="32" t="e">
        <f>VLOOKUP($A86,'Espesor E4'!$A$9:$J$58,5,FALSE)</f>
        <v>#N/A</v>
      </c>
      <c r="F86" s="32" t="e">
        <f>VLOOKUP($A86,'Espesor E4'!$A$9:$J$58,6,FALSE)</f>
        <v>#N/A</v>
      </c>
      <c r="G86" s="32" t="e">
        <f>VLOOKUP($A86,'Espesor E4'!$A$9:$J$58,7,FALSE)</f>
        <v>#N/A</v>
      </c>
      <c r="H86" s="32" t="e">
        <f t="shared" si="54"/>
        <v>#N/A</v>
      </c>
      <c r="I86" s="4" t="s">
        <v>52</v>
      </c>
      <c r="J86" s="33" t="e">
        <f t="shared" si="55"/>
        <v>#N/A</v>
      </c>
      <c r="K86" s="34" t="e">
        <f>VLOOKUP($A86,'Espesor E4'!$A$9:$J$58,10,FALSE)</f>
        <v>#N/A</v>
      </c>
      <c r="L86" s="34">
        <v>0.05</v>
      </c>
      <c r="M86" s="33" t="e">
        <f t="shared" si="56"/>
        <v>#N/A</v>
      </c>
      <c r="N86" s="33" t="e">
        <f t="shared" si="57"/>
        <v>#N/A</v>
      </c>
      <c r="O86" s="33" t="e">
        <f t="shared" si="58"/>
        <v>#N/A</v>
      </c>
      <c r="P86" s="33" t="e">
        <f t="shared" si="59"/>
        <v>#N/A</v>
      </c>
      <c r="Q86" s="33" t="e">
        <f t="shared" si="60"/>
        <v>#N/A</v>
      </c>
      <c r="R86" s="33" t="e">
        <f t="shared" si="61"/>
        <v>#N/A</v>
      </c>
      <c r="S86" s="35" t="e">
        <f t="shared" si="62"/>
        <v>#N/A</v>
      </c>
      <c r="T86" s="36">
        <f t="shared" si="63"/>
        <v>857500</v>
      </c>
      <c r="U86" s="36">
        <f t="shared" si="64"/>
        <v>857500</v>
      </c>
      <c r="V86" s="33" t="e">
        <f t="shared" si="65"/>
        <v>#N/A</v>
      </c>
      <c r="W86" s="33" t="e">
        <f t="shared" si="66"/>
        <v>#N/A</v>
      </c>
      <c r="X86" s="49" t="e">
        <f t="shared" si="67"/>
        <v>#N/A</v>
      </c>
      <c r="Y86" s="49" t="e">
        <f t="shared" si="68"/>
        <v>#N/A</v>
      </c>
      <c r="Z86" s="36" t="e">
        <f t="shared" si="69"/>
        <v>#N/A</v>
      </c>
      <c r="AA86" s="15" t="e">
        <f t="shared" si="70"/>
        <v>#N/A</v>
      </c>
      <c r="AB86" s="33" t="e">
        <f t="shared" si="71"/>
        <v>#N/A</v>
      </c>
    </row>
    <row r="87" spans="1:28" ht="13.5" x14ac:dyDescent="0.25">
      <c r="A87" s="160" t="str">
        <f t="array" ref="A87">IFERROR(INDEX('Espesor E4'!A21:A70, SMALL(IF('Espesor E4'!J21:J70&gt;=0.2, ROW('Espesor E4'!J21:J70)-ROW('Espesor E4'!A21)+1), ROW(13:13))), "N/A")</f>
        <v>N/A</v>
      </c>
      <c r="B87" s="72" t="e">
        <f>VLOOKUP($A87,'Espesor E4'!$A$9:$J$58,2,FALSE)</f>
        <v>#N/A</v>
      </c>
      <c r="C87" s="72" t="e">
        <f>VLOOKUP($A87,'Espesor E4'!$A$9:$J$58,3,FALSE)</f>
        <v>#N/A</v>
      </c>
      <c r="D87" s="32" t="e">
        <f>VLOOKUP($A87,'Espesor E4'!$A$9:$J$58,4,FALSE)</f>
        <v>#N/A</v>
      </c>
      <c r="E87" s="32" t="e">
        <f>VLOOKUP($A87,'Espesor E4'!$A$9:$J$58,5,FALSE)</f>
        <v>#N/A</v>
      </c>
      <c r="F87" s="32" t="e">
        <f>VLOOKUP($A87,'Espesor E4'!$A$9:$J$58,6,FALSE)</f>
        <v>#N/A</v>
      </c>
      <c r="G87" s="32" t="e">
        <f>VLOOKUP($A87,'Espesor E4'!$A$9:$J$58,7,FALSE)</f>
        <v>#N/A</v>
      </c>
      <c r="H87" s="32" t="e">
        <f t="shared" si="54"/>
        <v>#N/A</v>
      </c>
      <c r="I87" s="4" t="s">
        <v>52</v>
      </c>
      <c r="J87" s="33" t="e">
        <f t="shared" si="55"/>
        <v>#N/A</v>
      </c>
      <c r="K87" s="34" t="e">
        <f>VLOOKUP($A87,'Espesor E4'!$A$9:$J$58,10,FALSE)</f>
        <v>#N/A</v>
      </c>
      <c r="L87" s="34">
        <v>0.05</v>
      </c>
      <c r="M87" s="33" t="e">
        <f t="shared" si="56"/>
        <v>#N/A</v>
      </c>
      <c r="N87" s="33" t="e">
        <f t="shared" si="57"/>
        <v>#N/A</v>
      </c>
      <c r="O87" s="33" t="e">
        <f t="shared" si="58"/>
        <v>#N/A</v>
      </c>
      <c r="P87" s="33" t="e">
        <f t="shared" si="59"/>
        <v>#N/A</v>
      </c>
      <c r="Q87" s="33" t="e">
        <f t="shared" si="60"/>
        <v>#N/A</v>
      </c>
      <c r="R87" s="33" t="e">
        <f t="shared" si="61"/>
        <v>#N/A</v>
      </c>
      <c r="S87" s="35" t="e">
        <f t="shared" si="62"/>
        <v>#N/A</v>
      </c>
      <c r="T87" s="36">
        <f t="shared" si="63"/>
        <v>857500</v>
      </c>
      <c r="U87" s="36">
        <f t="shared" si="64"/>
        <v>857500</v>
      </c>
      <c r="V87" s="33" t="e">
        <f t="shared" si="65"/>
        <v>#N/A</v>
      </c>
      <c r="W87" s="33" t="e">
        <f t="shared" si="66"/>
        <v>#N/A</v>
      </c>
      <c r="X87" s="49" t="e">
        <f t="shared" si="67"/>
        <v>#N/A</v>
      </c>
      <c r="Y87" s="49" t="e">
        <f t="shared" si="68"/>
        <v>#N/A</v>
      </c>
      <c r="Z87" s="36" t="e">
        <f t="shared" si="69"/>
        <v>#N/A</v>
      </c>
      <c r="AA87" s="15" t="e">
        <f t="shared" si="70"/>
        <v>#N/A</v>
      </c>
      <c r="AB87" s="33" t="e">
        <f t="shared" si="71"/>
        <v>#N/A</v>
      </c>
    </row>
    <row r="88" spans="1:28" ht="13.5" x14ac:dyDescent="0.25">
      <c r="A88" s="160" t="str">
        <f t="array" ref="A88">IFERROR(INDEX('Espesor E4'!A22:A71, SMALL(IF('Espesor E4'!J22:J71&gt;=0.2, ROW('Espesor E4'!J22:J71)-ROW('Espesor E4'!A22)+1), ROW(14:14))), "N/A")</f>
        <v>N/A</v>
      </c>
      <c r="B88" s="72" t="e">
        <f>VLOOKUP($A88,'Espesor E4'!$A$9:$J$58,2,FALSE)</f>
        <v>#N/A</v>
      </c>
      <c r="C88" s="72" t="e">
        <f>VLOOKUP($A88,'Espesor E4'!$A$9:$J$58,3,FALSE)</f>
        <v>#N/A</v>
      </c>
      <c r="D88" s="32" t="e">
        <f>VLOOKUP($A88,'Espesor E4'!$A$9:$J$58,4,FALSE)</f>
        <v>#N/A</v>
      </c>
      <c r="E88" s="32" t="e">
        <f>VLOOKUP($A88,'Espesor E4'!$A$9:$J$58,5,FALSE)</f>
        <v>#N/A</v>
      </c>
      <c r="F88" s="32" t="e">
        <f>VLOOKUP($A88,'Espesor E4'!$A$9:$J$58,6,FALSE)</f>
        <v>#N/A</v>
      </c>
      <c r="G88" s="32" t="e">
        <f>VLOOKUP($A88,'Espesor E4'!$A$9:$J$58,7,FALSE)</f>
        <v>#N/A</v>
      </c>
      <c r="H88" s="32" t="e">
        <f t="shared" si="54"/>
        <v>#N/A</v>
      </c>
      <c r="I88" s="4" t="s">
        <v>52</v>
      </c>
      <c r="J88" s="33" t="e">
        <f t="shared" si="55"/>
        <v>#N/A</v>
      </c>
      <c r="K88" s="34" t="e">
        <f>VLOOKUP($A88,'Espesor E4'!$A$9:$J$58,10,FALSE)</f>
        <v>#N/A</v>
      </c>
      <c r="L88" s="34">
        <v>0.05</v>
      </c>
      <c r="M88" s="33" t="e">
        <f t="shared" si="56"/>
        <v>#N/A</v>
      </c>
      <c r="N88" s="33" t="e">
        <f t="shared" si="57"/>
        <v>#N/A</v>
      </c>
      <c r="O88" s="33" t="e">
        <f t="shared" si="58"/>
        <v>#N/A</v>
      </c>
      <c r="P88" s="33" t="e">
        <f t="shared" si="59"/>
        <v>#N/A</v>
      </c>
      <c r="Q88" s="33" t="e">
        <f t="shared" si="60"/>
        <v>#N/A</v>
      </c>
      <c r="R88" s="33" t="e">
        <f t="shared" si="61"/>
        <v>#N/A</v>
      </c>
      <c r="S88" s="35" t="e">
        <f t="shared" si="62"/>
        <v>#N/A</v>
      </c>
      <c r="T88" s="36">
        <f t="shared" si="63"/>
        <v>857500</v>
      </c>
      <c r="U88" s="36">
        <f t="shared" si="64"/>
        <v>857500</v>
      </c>
      <c r="V88" s="33" t="e">
        <f t="shared" si="65"/>
        <v>#N/A</v>
      </c>
      <c r="W88" s="33" t="e">
        <f t="shared" si="66"/>
        <v>#N/A</v>
      </c>
      <c r="X88" s="49" t="e">
        <f t="shared" si="67"/>
        <v>#N/A</v>
      </c>
      <c r="Y88" s="49" t="e">
        <f t="shared" si="68"/>
        <v>#N/A</v>
      </c>
      <c r="Z88" s="36" t="e">
        <f t="shared" si="69"/>
        <v>#N/A</v>
      </c>
      <c r="AA88" s="15" t="e">
        <f t="shared" si="70"/>
        <v>#N/A</v>
      </c>
      <c r="AB88" s="33" t="e">
        <f t="shared" si="71"/>
        <v>#N/A</v>
      </c>
    </row>
    <row r="89" spans="1:28" ht="13.5" x14ac:dyDescent="0.25">
      <c r="A89" s="160" t="str">
        <f t="array" ref="A89">IFERROR(INDEX('Espesor E4'!A23:A72, SMALL(IF('Espesor E4'!J23:J72&gt;=0.2, ROW('Espesor E4'!J23:J72)-ROW('Espesor E4'!A23)+1), ROW(15:15))), "N/A")</f>
        <v>N/A</v>
      </c>
      <c r="B89" s="72" t="e">
        <f>VLOOKUP($A89,'Espesor E4'!$A$9:$J$58,2,FALSE)</f>
        <v>#N/A</v>
      </c>
      <c r="C89" s="72" t="e">
        <f>VLOOKUP($A89,'Espesor E4'!$A$9:$J$58,3,FALSE)</f>
        <v>#N/A</v>
      </c>
      <c r="D89" s="32" t="e">
        <f>VLOOKUP($A89,'Espesor E4'!$A$9:$J$58,4,FALSE)</f>
        <v>#N/A</v>
      </c>
      <c r="E89" s="32" t="e">
        <f>VLOOKUP($A89,'Espesor E4'!$A$9:$J$58,5,FALSE)</f>
        <v>#N/A</v>
      </c>
      <c r="F89" s="32" t="e">
        <f>VLOOKUP($A89,'Espesor E4'!$A$9:$J$58,6,FALSE)</f>
        <v>#N/A</v>
      </c>
      <c r="G89" s="32" t="e">
        <f>VLOOKUP($A89,'Espesor E4'!$A$9:$J$58,7,FALSE)</f>
        <v>#N/A</v>
      </c>
      <c r="H89" s="32" t="e">
        <f t="shared" si="54"/>
        <v>#N/A</v>
      </c>
      <c r="I89" s="4" t="s">
        <v>52</v>
      </c>
      <c r="J89" s="33" t="e">
        <f t="shared" si="55"/>
        <v>#N/A</v>
      </c>
      <c r="K89" s="34" t="e">
        <f>VLOOKUP($A89,'Espesor E4'!$A$9:$J$58,10,FALSE)</f>
        <v>#N/A</v>
      </c>
      <c r="L89" s="34">
        <v>0.05</v>
      </c>
      <c r="M89" s="33" t="e">
        <f t="shared" si="56"/>
        <v>#N/A</v>
      </c>
      <c r="N89" s="33" t="e">
        <f t="shared" si="57"/>
        <v>#N/A</v>
      </c>
      <c r="O89" s="33" t="e">
        <f t="shared" si="58"/>
        <v>#N/A</v>
      </c>
      <c r="P89" s="33" t="e">
        <f t="shared" si="59"/>
        <v>#N/A</v>
      </c>
      <c r="Q89" s="33" t="e">
        <f t="shared" si="60"/>
        <v>#N/A</v>
      </c>
      <c r="R89" s="33" t="e">
        <f t="shared" si="61"/>
        <v>#N/A</v>
      </c>
      <c r="S89" s="35" t="e">
        <f t="shared" si="62"/>
        <v>#N/A</v>
      </c>
      <c r="T89" s="36">
        <f t="shared" si="63"/>
        <v>857500</v>
      </c>
      <c r="U89" s="36">
        <f t="shared" si="64"/>
        <v>857500</v>
      </c>
      <c r="V89" s="33" t="e">
        <f t="shared" si="65"/>
        <v>#N/A</v>
      </c>
      <c r="W89" s="33" t="e">
        <f t="shared" si="66"/>
        <v>#N/A</v>
      </c>
      <c r="X89" s="49" t="e">
        <f t="shared" si="67"/>
        <v>#N/A</v>
      </c>
      <c r="Y89" s="49" t="e">
        <f t="shared" si="68"/>
        <v>#N/A</v>
      </c>
      <c r="Z89" s="36" t="e">
        <f t="shared" si="69"/>
        <v>#N/A</v>
      </c>
      <c r="AA89" s="15" t="e">
        <f t="shared" si="70"/>
        <v>#N/A</v>
      </c>
      <c r="AB89" s="33" t="e">
        <f t="shared" si="71"/>
        <v>#N/A</v>
      </c>
    </row>
    <row r="90" spans="1:28" ht="13.5" x14ac:dyDescent="0.25">
      <c r="A90" s="160" t="str">
        <f t="array" ref="A90">IFERROR(INDEX('Espesor E4'!A24:A73, SMALL(IF('Espesor E4'!J24:J73&gt;=0.2, ROW('Espesor E4'!J24:J73)-ROW('Espesor E4'!A24)+1), ROW(16:16))), "N/A")</f>
        <v>N/A</v>
      </c>
      <c r="B90" s="72" t="e">
        <f>VLOOKUP($A90,'Espesor E4'!$A$9:$J$58,2,FALSE)</f>
        <v>#N/A</v>
      </c>
      <c r="C90" s="72" t="e">
        <f>VLOOKUP($A90,'Espesor E4'!$A$9:$J$58,3,FALSE)</f>
        <v>#N/A</v>
      </c>
      <c r="D90" s="32" t="e">
        <f>VLOOKUP($A90,'Espesor E4'!$A$9:$J$58,4,FALSE)</f>
        <v>#N/A</v>
      </c>
      <c r="E90" s="32" t="e">
        <f>VLOOKUP($A90,'Espesor E4'!$A$9:$J$58,5,FALSE)</f>
        <v>#N/A</v>
      </c>
      <c r="F90" s="32" t="e">
        <f>VLOOKUP($A90,'Espesor E4'!$A$9:$J$58,6,FALSE)</f>
        <v>#N/A</v>
      </c>
      <c r="G90" s="32" t="e">
        <f>VLOOKUP($A90,'Espesor E4'!$A$9:$J$58,7,FALSE)</f>
        <v>#N/A</v>
      </c>
      <c r="H90" s="32" t="e">
        <f t="shared" si="54"/>
        <v>#N/A</v>
      </c>
      <c r="I90" s="4" t="s">
        <v>52</v>
      </c>
      <c r="J90" s="33" t="e">
        <f t="shared" si="55"/>
        <v>#N/A</v>
      </c>
      <c r="K90" s="34" t="e">
        <f>VLOOKUP($A90,'Espesor E4'!$A$9:$J$58,10,FALSE)</f>
        <v>#N/A</v>
      </c>
      <c r="L90" s="34">
        <v>0.05</v>
      </c>
      <c r="M90" s="33" t="e">
        <f t="shared" si="56"/>
        <v>#N/A</v>
      </c>
      <c r="N90" s="33" t="e">
        <f t="shared" si="57"/>
        <v>#N/A</v>
      </c>
      <c r="O90" s="33" t="e">
        <f t="shared" si="58"/>
        <v>#N/A</v>
      </c>
      <c r="P90" s="33" t="e">
        <f t="shared" si="59"/>
        <v>#N/A</v>
      </c>
      <c r="Q90" s="33" t="e">
        <f t="shared" si="60"/>
        <v>#N/A</v>
      </c>
      <c r="R90" s="33" t="e">
        <f t="shared" si="61"/>
        <v>#N/A</v>
      </c>
      <c r="S90" s="35" t="e">
        <f t="shared" si="62"/>
        <v>#N/A</v>
      </c>
      <c r="T90" s="36">
        <f t="shared" si="63"/>
        <v>857500</v>
      </c>
      <c r="U90" s="36">
        <f t="shared" si="64"/>
        <v>857500</v>
      </c>
      <c r="V90" s="33" t="e">
        <f t="shared" si="65"/>
        <v>#N/A</v>
      </c>
      <c r="W90" s="33" t="e">
        <f t="shared" si="66"/>
        <v>#N/A</v>
      </c>
      <c r="X90" s="49" t="e">
        <f t="shared" si="67"/>
        <v>#N/A</v>
      </c>
      <c r="Y90" s="49" t="e">
        <f t="shared" si="68"/>
        <v>#N/A</v>
      </c>
      <c r="Z90" s="36" t="e">
        <f t="shared" si="69"/>
        <v>#N/A</v>
      </c>
      <c r="AA90" s="15" t="e">
        <f t="shared" si="70"/>
        <v>#N/A</v>
      </c>
      <c r="AB90" s="33" t="e">
        <f t="shared" si="71"/>
        <v>#N/A</v>
      </c>
    </row>
    <row r="91" spans="1:28" ht="13.5" x14ac:dyDescent="0.25">
      <c r="A91" s="160" t="str">
        <f t="array" ref="A91">IFERROR(INDEX('Espesor E4'!A25:A74, SMALL(IF('Espesor E4'!J25:J74&gt;=0.2, ROW('Espesor E4'!J25:J74)-ROW('Espesor E4'!A25)+1), ROW(17:17))), "N/A")</f>
        <v>N/A</v>
      </c>
      <c r="B91" s="72" t="e">
        <f>VLOOKUP($A91,'Espesor E4'!$A$9:$J$58,2,FALSE)</f>
        <v>#N/A</v>
      </c>
      <c r="C91" s="72" t="e">
        <f>VLOOKUP($A91,'Espesor E4'!$A$9:$J$58,3,FALSE)</f>
        <v>#N/A</v>
      </c>
      <c r="D91" s="32" t="e">
        <f>VLOOKUP($A91,'Espesor E4'!$A$9:$J$58,4,FALSE)</f>
        <v>#N/A</v>
      </c>
      <c r="E91" s="32" t="e">
        <f>VLOOKUP($A91,'Espesor E4'!$A$9:$J$58,5,FALSE)</f>
        <v>#N/A</v>
      </c>
      <c r="F91" s="32" t="e">
        <f>VLOOKUP($A91,'Espesor E4'!$A$9:$J$58,6,FALSE)</f>
        <v>#N/A</v>
      </c>
      <c r="G91" s="32" t="e">
        <f>VLOOKUP($A91,'Espesor E4'!$A$9:$J$58,7,FALSE)</f>
        <v>#N/A</v>
      </c>
      <c r="H91" s="32" t="e">
        <f t="shared" si="54"/>
        <v>#N/A</v>
      </c>
      <c r="I91" s="4" t="s">
        <v>52</v>
      </c>
      <c r="J91" s="33" t="e">
        <f t="shared" si="55"/>
        <v>#N/A</v>
      </c>
      <c r="K91" s="34" t="e">
        <f>VLOOKUP($A91,'Espesor E4'!$A$9:$J$58,10,FALSE)</f>
        <v>#N/A</v>
      </c>
      <c r="L91" s="34">
        <v>0.05</v>
      </c>
      <c r="M91" s="33" t="e">
        <f t="shared" si="56"/>
        <v>#N/A</v>
      </c>
      <c r="N91" s="33" t="e">
        <f t="shared" si="57"/>
        <v>#N/A</v>
      </c>
      <c r="O91" s="33" t="e">
        <f t="shared" si="58"/>
        <v>#N/A</v>
      </c>
      <c r="P91" s="33" t="e">
        <f t="shared" si="59"/>
        <v>#N/A</v>
      </c>
      <c r="Q91" s="33" t="e">
        <f t="shared" si="60"/>
        <v>#N/A</v>
      </c>
      <c r="R91" s="33" t="e">
        <f t="shared" si="61"/>
        <v>#N/A</v>
      </c>
      <c r="S91" s="35" t="e">
        <f t="shared" si="62"/>
        <v>#N/A</v>
      </c>
      <c r="T91" s="36">
        <f t="shared" si="63"/>
        <v>857500</v>
      </c>
      <c r="U91" s="36">
        <f t="shared" si="64"/>
        <v>857500</v>
      </c>
      <c r="V91" s="33" t="e">
        <f t="shared" si="65"/>
        <v>#N/A</v>
      </c>
      <c r="W91" s="33" t="e">
        <f t="shared" si="66"/>
        <v>#N/A</v>
      </c>
      <c r="X91" s="49" t="e">
        <f t="shared" si="67"/>
        <v>#N/A</v>
      </c>
      <c r="Y91" s="49" t="e">
        <f t="shared" si="68"/>
        <v>#N/A</v>
      </c>
      <c r="Z91" s="36" t="e">
        <f t="shared" si="69"/>
        <v>#N/A</v>
      </c>
      <c r="AA91" s="15" t="e">
        <f t="shared" si="70"/>
        <v>#N/A</v>
      </c>
      <c r="AB91" s="33" t="e">
        <f t="shared" si="71"/>
        <v>#N/A</v>
      </c>
    </row>
    <row r="92" spans="1:28" ht="13.5" x14ac:dyDescent="0.25">
      <c r="A92" s="160" t="str">
        <f t="array" ref="A92">IFERROR(INDEX('Espesor E4'!A26:A75, SMALL(IF('Espesor E4'!J26:J75&gt;=0.2, ROW('Espesor E4'!J26:J75)-ROW('Espesor E4'!A26)+1), ROW(18:18))), "N/A")</f>
        <v>N/A</v>
      </c>
      <c r="B92" s="72" t="e">
        <f>VLOOKUP($A92,'Espesor E4'!$A$9:$J$58,2,FALSE)</f>
        <v>#N/A</v>
      </c>
      <c r="C92" s="72" t="e">
        <f>VLOOKUP($A92,'Espesor E4'!$A$9:$J$58,3,FALSE)</f>
        <v>#N/A</v>
      </c>
      <c r="D92" s="32" t="e">
        <f>VLOOKUP($A92,'Espesor E4'!$A$9:$J$58,4,FALSE)</f>
        <v>#N/A</v>
      </c>
      <c r="E92" s="32" t="e">
        <f>VLOOKUP($A92,'Espesor E4'!$A$9:$J$58,5,FALSE)</f>
        <v>#N/A</v>
      </c>
      <c r="F92" s="32" t="e">
        <f>VLOOKUP($A92,'Espesor E4'!$A$9:$J$58,6,FALSE)</f>
        <v>#N/A</v>
      </c>
      <c r="G92" s="32" t="e">
        <f>VLOOKUP($A92,'Espesor E4'!$A$9:$J$58,7,FALSE)</f>
        <v>#N/A</v>
      </c>
      <c r="H92" s="32" t="e">
        <f t="shared" si="54"/>
        <v>#N/A</v>
      </c>
      <c r="I92" s="4" t="s">
        <v>52</v>
      </c>
      <c r="J92" s="33" t="e">
        <f t="shared" si="55"/>
        <v>#N/A</v>
      </c>
      <c r="K92" s="34" t="e">
        <f>VLOOKUP($A92,'Espesor E4'!$A$9:$J$58,10,FALSE)</f>
        <v>#N/A</v>
      </c>
      <c r="L92" s="34">
        <v>0.05</v>
      </c>
      <c r="M92" s="33" t="e">
        <f t="shared" si="56"/>
        <v>#N/A</v>
      </c>
      <c r="N92" s="33" t="e">
        <f t="shared" si="57"/>
        <v>#N/A</v>
      </c>
      <c r="O92" s="33" t="e">
        <f t="shared" si="58"/>
        <v>#N/A</v>
      </c>
      <c r="P92" s="33" t="e">
        <f t="shared" si="59"/>
        <v>#N/A</v>
      </c>
      <c r="Q92" s="33" t="e">
        <f t="shared" si="60"/>
        <v>#N/A</v>
      </c>
      <c r="R92" s="33" t="e">
        <f t="shared" si="61"/>
        <v>#N/A</v>
      </c>
      <c r="S92" s="35" t="e">
        <f t="shared" si="62"/>
        <v>#N/A</v>
      </c>
      <c r="T92" s="36">
        <f t="shared" si="63"/>
        <v>857500</v>
      </c>
      <c r="U92" s="36">
        <f t="shared" si="64"/>
        <v>857500</v>
      </c>
      <c r="V92" s="33" t="e">
        <f t="shared" si="65"/>
        <v>#N/A</v>
      </c>
      <c r="W92" s="33" t="e">
        <f t="shared" si="66"/>
        <v>#N/A</v>
      </c>
      <c r="X92" s="49" t="e">
        <f t="shared" si="67"/>
        <v>#N/A</v>
      </c>
      <c r="Y92" s="49" t="e">
        <f t="shared" si="68"/>
        <v>#N/A</v>
      </c>
      <c r="Z92" s="36" t="e">
        <f t="shared" si="69"/>
        <v>#N/A</v>
      </c>
      <c r="AA92" s="15" t="e">
        <f t="shared" si="70"/>
        <v>#N/A</v>
      </c>
      <c r="AB92" s="33" t="e">
        <f t="shared" si="71"/>
        <v>#N/A</v>
      </c>
    </row>
    <row r="93" spans="1:28" ht="13.5" x14ac:dyDescent="0.25">
      <c r="A93" s="160" t="str">
        <f t="array" ref="A93">IFERROR(INDEX('Espesor E4'!A27:A76, SMALL(IF('Espesor E4'!J27:J76&gt;=0.2, ROW('Espesor E4'!J27:J76)-ROW('Espesor E4'!A27)+1), ROW(19:19))), "N/A")</f>
        <v>N/A</v>
      </c>
      <c r="B93" s="72" t="e">
        <f>VLOOKUP($A93,'Espesor E4'!$A$9:$J$58,2,FALSE)</f>
        <v>#N/A</v>
      </c>
      <c r="C93" s="72" t="e">
        <f>VLOOKUP($A93,'Espesor E4'!$A$9:$J$58,3,FALSE)</f>
        <v>#N/A</v>
      </c>
      <c r="D93" s="32" t="e">
        <f>VLOOKUP($A93,'Espesor E4'!$A$9:$J$58,4,FALSE)</f>
        <v>#N/A</v>
      </c>
      <c r="E93" s="32" t="e">
        <f>VLOOKUP($A93,'Espesor E4'!$A$9:$J$58,5,FALSE)</f>
        <v>#N/A</v>
      </c>
      <c r="F93" s="32" t="e">
        <f>VLOOKUP($A93,'Espesor E4'!$A$9:$J$58,6,FALSE)</f>
        <v>#N/A</v>
      </c>
      <c r="G93" s="32" t="e">
        <f>VLOOKUP($A93,'Espesor E4'!$A$9:$J$58,7,FALSE)</f>
        <v>#N/A</v>
      </c>
      <c r="H93" s="32" t="e">
        <f t="shared" si="54"/>
        <v>#N/A</v>
      </c>
      <c r="I93" s="4" t="s">
        <v>52</v>
      </c>
      <c r="J93" s="33" t="e">
        <f t="shared" si="55"/>
        <v>#N/A</v>
      </c>
      <c r="K93" s="34" t="e">
        <f>VLOOKUP($A93,'Espesor E4'!$A$9:$J$58,10,FALSE)</f>
        <v>#N/A</v>
      </c>
      <c r="L93" s="34">
        <v>0.05</v>
      </c>
      <c r="M93" s="33" t="e">
        <f t="shared" si="56"/>
        <v>#N/A</v>
      </c>
      <c r="N93" s="33" t="e">
        <f t="shared" si="57"/>
        <v>#N/A</v>
      </c>
      <c r="O93" s="33" t="e">
        <f t="shared" si="58"/>
        <v>#N/A</v>
      </c>
      <c r="P93" s="33" t="e">
        <f t="shared" si="59"/>
        <v>#N/A</v>
      </c>
      <c r="Q93" s="33" t="e">
        <f t="shared" si="60"/>
        <v>#N/A</v>
      </c>
      <c r="R93" s="33" t="e">
        <f t="shared" si="61"/>
        <v>#N/A</v>
      </c>
      <c r="S93" s="35" t="e">
        <f t="shared" si="62"/>
        <v>#N/A</v>
      </c>
      <c r="T93" s="36">
        <f t="shared" si="63"/>
        <v>857500</v>
      </c>
      <c r="U93" s="36">
        <f t="shared" si="64"/>
        <v>857500</v>
      </c>
      <c r="V93" s="33" t="e">
        <f t="shared" si="65"/>
        <v>#N/A</v>
      </c>
      <c r="W93" s="33" t="e">
        <f t="shared" si="66"/>
        <v>#N/A</v>
      </c>
      <c r="X93" s="49" t="e">
        <f t="shared" si="67"/>
        <v>#N/A</v>
      </c>
      <c r="Y93" s="49" t="e">
        <f t="shared" si="68"/>
        <v>#N/A</v>
      </c>
      <c r="Z93" s="36" t="e">
        <f t="shared" si="69"/>
        <v>#N/A</v>
      </c>
      <c r="AA93" s="15" t="e">
        <f t="shared" si="70"/>
        <v>#N/A</v>
      </c>
      <c r="AB93" s="33" t="e">
        <f t="shared" si="71"/>
        <v>#N/A</v>
      </c>
    </row>
    <row r="94" spans="1:28" ht="13.5" x14ac:dyDescent="0.25">
      <c r="A94" s="160" t="str">
        <f t="array" ref="A94">IFERROR(INDEX('Espesor E4'!A28:A77, SMALL(IF('Espesor E4'!J28:J77&gt;=0.2, ROW('Espesor E4'!J28:J77)-ROW('Espesor E4'!A28)+1), ROW(20:20))), "N/A")</f>
        <v>N/A</v>
      </c>
      <c r="B94" s="72" t="e">
        <f>VLOOKUP($A94,'Espesor E4'!$A$9:$J$58,2,FALSE)</f>
        <v>#N/A</v>
      </c>
      <c r="C94" s="72" t="e">
        <f>VLOOKUP($A94,'Espesor E4'!$A$9:$J$58,3,FALSE)</f>
        <v>#N/A</v>
      </c>
      <c r="D94" s="32" t="e">
        <f>VLOOKUP($A94,'Espesor E4'!$A$9:$J$58,4,FALSE)</f>
        <v>#N/A</v>
      </c>
      <c r="E94" s="32" t="e">
        <f>VLOOKUP($A94,'Espesor E4'!$A$9:$J$58,5,FALSE)</f>
        <v>#N/A</v>
      </c>
      <c r="F94" s="32" t="e">
        <f>VLOOKUP($A94,'Espesor E4'!$A$9:$J$58,6,FALSE)</f>
        <v>#N/A</v>
      </c>
      <c r="G94" s="32" t="e">
        <f>VLOOKUP($A94,'Espesor E4'!$A$9:$J$58,7,FALSE)</f>
        <v>#N/A</v>
      </c>
      <c r="H94" s="32" t="e">
        <f t="shared" si="54"/>
        <v>#N/A</v>
      </c>
      <c r="I94" s="4" t="s">
        <v>52</v>
      </c>
      <c r="J94" s="33" t="e">
        <f t="shared" si="55"/>
        <v>#N/A</v>
      </c>
      <c r="K94" s="34" t="e">
        <f>VLOOKUP($A94,'Espesor E4'!$A$9:$J$58,10,FALSE)</f>
        <v>#N/A</v>
      </c>
      <c r="L94" s="34">
        <v>0.05</v>
      </c>
      <c r="M94" s="33" t="e">
        <f t="shared" si="56"/>
        <v>#N/A</v>
      </c>
      <c r="N94" s="33" t="e">
        <f t="shared" si="57"/>
        <v>#N/A</v>
      </c>
      <c r="O94" s="33" t="e">
        <f t="shared" si="58"/>
        <v>#N/A</v>
      </c>
      <c r="P94" s="33" t="e">
        <f t="shared" si="59"/>
        <v>#N/A</v>
      </c>
      <c r="Q94" s="33" t="e">
        <f t="shared" si="60"/>
        <v>#N/A</v>
      </c>
      <c r="R94" s="33" t="e">
        <f t="shared" si="61"/>
        <v>#N/A</v>
      </c>
      <c r="S94" s="35" t="e">
        <f t="shared" si="62"/>
        <v>#N/A</v>
      </c>
      <c r="T94" s="36">
        <f t="shared" si="63"/>
        <v>857500</v>
      </c>
      <c r="U94" s="36">
        <f t="shared" si="64"/>
        <v>857500</v>
      </c>
      <c r="V94" s="33" t="e">
        <f t="shared" si="65"/>
        <v>#N/A</v>
      </c>
      <c r="W94" s="33" t="e">
        <f t="shared" si="66"/>
        <v>#N/A</v>
      </c>
      <c r="X94" s="49" t="e">
        <f t="shared" si="67"/>
        <v>#N/A</v>
      </c>
      <c r="Y94" s="49" t="e">
        <f t="shared" si="68"/>
        <v>#N/A</v>
      </c>
      <c r="Z94" s="36" t="e">
        <f t="shared" si="69"/>
        <v>#N/A</v>
      </c>
      <c r="AA94" s="15" t="e">
        <f t="shared" si="70"/>
        <v>#N/A</v>
      </c>
      <c r="AB94" s="33" t="e">
        <f t="shared" si="71"/>
        <v>#N/A</v>
      </c>
    </row>
    <row r="95" spans="1:28" x14ac:dyDescent="0.2">
      <c r="A95" s="165" t="str">
        <f ca="1">REPT('Espesor E5'!AC2,65)</f>
        <v xml:space="preserve">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 E5 /</v>
      </c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</row>
    <row r="96" spans="1:28" ht="13.5" x14ac:dyDescent="0.25">
      <c r="A96" s="160" t="str">
        <f t="array" ref="A96">IFERROR(INDEX('Espesor E5'!A9:A58, SMALL(IF('Espesor E5'!J9:J58&gt;=0.2, ROW('Espesor E5'!J9:J58)-ROW('Espesor E5'!A9)+1), ROW(1:1))), "N/A")</f>
        <v>N/A</v>
      </c>
      <c r="B96" s="72" t="e">
        <f>VLOOKUP($A96,'Espesor E5'!$A$9:$J$58,2,FALSE)</f>
        <v>#N/A</v>
      </c>
      <c r="C96" s="72" t="e">
        <f>VLOOKUP($A96,'Espesor E5'!$A$9:$J$58,3,FALSE)</f>
        <v>#N/A</v>
      </c>
      <c r="D96" s="32" t="e">
        <f>VLOOKUP($A96,'Espesor E5'!$A$9:$J$58,4,FALSE)</f>
        <v>#N/A</v>
      </c>
      <c r="E96" s="32" t="e">
        <f>VLOOKUP($A96,'Espesor E5'!$A$9:$J$58,5,FALSE)</f>
        <v>#N/A</v>
      </c>
      <c r="F96" s="32" t="e">
        <f>VLOOKUP($A96,'Espesor E5'!$A$9:$J$58,6,FALSE)</f>
        <v>#N/A</v>
      </c>
      <c r="G96" s="32" t="e">
        <f>VLOOKUP($A96,'Espesor E5'!$A$9:$J$58,7,FALSE)</f>
        <v>#N/A</v>
      </c>
      <c r="H96" s="32" t="e">
        <f>IF(D96="2D",(F96*(0.8+($C$8/14000)))/(36+9*G96),F96/E96)</f>
        <v>#N/A</v>
      </c>
      <c r="I96" s="4" t="s">
        <v>52</v>
      </c>
      <c r="J96" s="33" t="e">
        <f>MAX(0.12,H96)</f>
        <v>#N/A</v>
      </c>
      <c r="K96" s="34" t="e">
        <f>VLOOKUP($A96,'Espesor E5'!$A$9:$J$58,10,FALSE)</f>
        <v>#N/A</v>
      </c>
      <c r="L96" s="34">
        <v>0.05</v>
      </c>
      <c r="M96" s="33" t="e">
        <f>IF(D96="2D",IF(B96&lt;C96,INT(B96/($N$3+$N$5)),INT(B96/($N$3+$N$4))),IF(B96&gt;C96,INT(B96/($L$3+$L$4)),INT(B96/$L$5)))</f>
        <v>#N/A</v>
      </c>
      <c r="N96" s="33" t="e">
        <f>IF(D96="2D",IF(C96&lt;B96,INT(C96/($N$3+$N$5)),INT(C96/($N$3+$N$4))),IF(C96&gt;B96,INT(C96/($L$3+$L$4)),INT(C96/$L$5)))</f>
        <v>#N/A</v>
      </c>
      <c r="O96" s="33" t="e">
        <f>M96*N96</f>
        <v>#N/A</v>
      </c>
      <c r="P96" s="33" t="e">
        <f>O96*(IF(D96="1D",($L$4*$L$5),($N$4*$N$5)))*(K96-L96)</f>
        <v>#N/A</v>
      </c>
      <c r="Q96" s="33" t="e">
        <f>K96*B96*C96</f>
        <v>#N/A</v>
      </c>
      <c r="R96" s="33" t="e">
        <f>Q96-P96</f>
        <v>#N/A</v>
      </c>
      <c r="S96" s="35" t="e">
        <f>R96/(B96*C96)</f>
        <v>#N/A</v>
      </c>
      <c r="T96" s="36">
        <f>$T$7*$T$8*$T$8*$T$8/12</f>
        <v>857500</v>
      </c>
      <c r="U96" s="36">
        <f>T96</f>
        <v>857500</v>
      </c>
      <c r="V96" s="33" t="e">
        <f>(C96*100/2)*(J96*J96*J96*1000000)/12</f>
        <v>#N/A</v>
      </c>
      <c r="W96" s="33" t="e">
        <f>(B96*100/2)*(J96*J96*J96*1000000)/12</f>
        <v>#N/A</v>
      </c>
      <c r="X96" s="50" t="e">
        <f>T96/V96</f>
        <v>#N/A</v>
      </c>
      <c r="Y96" s="50" t="e">
        <f>U96/W96</f>
        <v>#N/A</v>
      </c>
      <c r="Z96" s="36" t="e">
        <f>(X96*2+Y96*2)/4</f>
        <v>#N/A</v>
      </c>
      <c r="AA96" s="15" t="e">
        <f>IF(Z96&gt;2,"OK","CHK")</f>
        <v>#N/A</v>
      </c>
      <c r="AB96" s="33" t="e">
        <f>(F96*(0.8+($C$9/14000)))/(36+5*G96*(0.2-0.12))</f>
        <v>#N/A</v>
      </c>
    </row>
    <row r="97" spans="1:28" ht="13.5" x14ac:dyDescent="0.25">
      <c r="A97" s="160" t="str">
        <f t="array" ref="A97">IFERROR(INDEX('Espesor E5'!A10:A59, SMALL(IF('Espesor E5'!J10:J59&gt;=0.2, ROW('Espesor E5'!J10:J59)-ROW('Espesor E5'!A10)+1), ROW(2:2))), "N/A")</f>
        <v>N/A</v>
      </c>
      <c r="B97" s="72" t="e">
        <f>VLOOKUP($A97,'Espesor E5'!$A$9:$J$58,2,FALSE)</f>
        <v>#N/A</v>
      </c>
      <c r="C97" s="72" t="e">
        <f>VLOOKUP($A97,'Espesor E5'!$A$9:$J$58,3,FALSE)</f>
        <v>#N/A</v>
      </c>
      <c r="D97" s="32" t="e">
        <f>VLOOKUP($A97,'Espesor E5'!$A$9:$J$58,4,FALSE)</f>
        <v>#N/A</v>
      </c>
      <c r="E97" s="32" t="e">
        <f>VLOOKUP($A97,'Espesor E5'!$A$9:$J$58,5,FALSE)</f>
        <v>#N/A</v>
      </c>
      <c r="F97" s="32" t="e">
        <f>VLOOKUP($A97,'Espesor E5'!$A$9:$J$58,6,FALSE)</f>
        <v>#N/A</v>
      </c>
      <c r="G97" s="32" t="e">
        <f>VLOOKUP($A97,'Espesor E5'!$A$9:$J$58,7,FALSE)</f>
        <v>#N/A</v>
      </c>
      <c r="H97" s="32" t="e">
        <f t="shared" ref="H97:H115" si="72">IF(D97="2D",(F97*(0.8+($C$8/14000)))/(36+9*G97),F97/E97)</f>
        <v>#N/A</v>
      </c>
      <c r="I97" s="4" t="s">
        <v>52</v>
      </c>
      <c r="J97" s="33" t="e">
        <f t="shared" ref="J97:J115" si="73">MAX(0.12,H97)</f>
        <v>#N/A</v>
      </c>
      <c r="K97" s="34" t="e">
        <f>VLOOKUP($A97,'Espesor E5'!$A$9:$J$58,10,FALSE)</f>
        <v>#N/A</v>
      </c>
      <c r="L97" s="34">
        <v>0.05</v>
      </c>
      <c r="M97" s="33" t="e">
        <f t="shared" ref="M97:M115" si="74">IF(D97="2D",IF(B97&lt;C97,INT(B97/($N$3+$N$5)),INT(B97/($N$3+$N$4))),IF(B97&gt;C97,INT(B97/($L$3+$L$4)),INT(B97/$L$5)))</f>
        <v>#N/A</v>
      </c>
      <c r="N97" s="33" t="e">
        <f t="shared" ref="N97:N115" si="75">IF(D97="2D",IF(C97&lt;B97,INT(C97/($N$3+$N$5)),INT(C97/($N$3+$N$4))),IF(C97&gt;B97,INT(C97/($L$3+$L$4)),INT(C97/$L$5)))</f>
        <v>#N/A</v>
      </c>
      <c r="O97" s="33" t="e">
        <f t="shared" ref="O97:O115" si="76">M97*N97</f>
        <v>#N/A</v>
      </c>
      <c r="P97" s="33" t="e">
        <f t="shared" ref="P97:P115" si="77">O97*(IF(D97="1D",($L$4*$L$5),($N$4*$N$5)))*(K97-L97)</f>
        <v>#N/A</v>
      </c>
      <c r="Q97" s="33" t="e">
        <f t="shared" ref="Q97:Q115" si="78">K97*B97*C97</f>
        <v>#N/A</v>
      </c>
      <c r="R97" s="33" t="e">
        <f t="shared" ref="R97:R115" si="79">Q97-P97</f>
        <v>#N/A</v>
      </c>
      <c r="S97" s="35" t="e">
        <f t="shared" ref="S97:S115" si="80">R97/(B97*C97)</f>
        <v>#N/A</v>
      </c>
      <c r="T97" s="36">
        <f t="shared" ref="T97:T115" si="81">$T$7*$T$8*$T$8*$T$8/12</f>
        <v>857500</v>
      </c>
      <c r="U97" s="36">
        <f t="shared" ref="U97:U115" si="82">T97</f>
        <v>857500</v>
      </c>
      <c r="V97" s="33" t="e">
        <f t="shared" ref="V97:V115" si="83">(C97*100/2)*(J97*J97*J97*1000000)/12</f>
        <v>#N/A</v>
      </c>
      <c r="W97" s="33" t="e">
        <f t="shared" ref="W97:W115" si="84">(B97*100/2)*(J97*J97*J97*1000000)/12</f>
        <v>#N/A</v>
      </c>
      <c r="X97" s="50" t="e">
        <f t="shared" ref="X97:X115" si="85">T97/V97</f>
        <v>#N/A</v>
      </c>
      <c r="Y97" s="50" t="e">
        <f t="shared" ref="Y97:Y115" si="86">U97/W97</f>
        <v>#N/A</v>
      </c>
      <c r="Z97" s="36" t="e">
        <f t="shared" ref="Z97:Z115" si="87">(X97*2+Y97*2)/4</f>
        <v>#N/A</v>
      </c>
      <c r="AA97" s="15" t="e">
        <f t="shared" ref="AA97:AA115" si="88">IF(Z97&gt;2,"OK","CHK")</f>
        <v>#N/A</v>
      </c>
      <c r="AB97" s="33" t="e">
        <f t="shared" ref="AB97:AB115" si="89">(F97*(0.8+($C$9/14000)))/(36+5*G97*(0.2-0.12))</f>
        <v>#N/A</v>
      </c>
    </row>
    <row r="98" spans="1:28" ht="13.5" x14ac:dyDescent="0.25">
      <c r="A98" s="160" t="str">
        <f t="array" ref="A98">IFERROR(INDEX('Espesor E5'!A11:A60, SMALL(IF('Espesor E5'!J11:J60&gt;=0.2, ROW('Espesor E5'!J11:J60)-ROW('Espesor E5'!A11)+1), ROW(3:3))), "N/A")</f>
        <v>N/A</v>
      </c>
      <c r="B98" s="72" t="e">
        <f>VLOOKUP($A98,'Espesor E5'!$A$9:$J$58,2,FALSE)</f>
        <v>#N/A</v>
      </c>
      <c r="C98" s="72" t="e">
        <f>VLOOKUP($A98,'Espesor E5'!$A$9:$J$58,3,FALSE)</f>
        <v>#N/A</v>
      </c>
      <c r="D98" s="32" t="e">
        <f>VLOOKUP($A98,'Espesor E5'!$A$9:$J$58,4,FALSE)</f>
        <v>#N/A</v>
      </c>
      <c r="E98" s="32" t="e">
        <f>VLOOKUP($A98,'Espesor E5'!$A$9:$J$58,5,FALSE)</f>
        <v>#N/A</v>
      </c>
      <c r="F98" s="32" t="e">
        <f>VLOOKUP($A98,'Espesor E5'!$A$9:$J$58,6,FALSE)</f>
        <v>#N/A</v>
      </c>
      <c r="G98" s="32" t="e">
        <f>VLOOKUP($A98,'Espesor E5'!$A$9:$J$58,7,FALSE)</f>
        <v>#N/A</v>
      </c>
      <c r="H98" s="32" t="e">
        <f t="shared" si="72"/>
        <v>#N/A</v>
      </c>
      <c r="I98" s="4" t="s">
        <v>52</v>
      </c>
      <c r="J98" s="33" t="e">
        <f t="shared" si="73"/>
        <v>#N/A</v>
      </c>
      <c r="K98" s="34" t="e">
        <f>VLOOKUP($A98,'Espesor E5'!$A$9:$J$58,10,FALSE)</f>
        <v>#N/A</v>
      </c>
      <c r="L98" s="34">
        <v>0.05</v>
      </c>
      <c r="M98" s="33" t="e">
        <f t="shared" si="74"/>
        <v>#N/A</v>
      </c>
      <c r="N98" s="33" t="e">
        <f t="shared" si="75"/>
        <v>#N/A</v>
      </c>
      <c r="O98" s="33" t="e">
        <f t="shared" si="76"/>
        <v>#N/A</v>
      </c>
      <c r="P98" s="33" t="e">
        <f t="shared" si="77"/>
        <v>#N/A</v>
      </c>
      <c r="Q98" s="33" t="e">
        <f t="shared" si="78"/>
        <v>#N/A</v>
      </c>
      <c r="R98" s="33" t="e">
        <f t="shared" si="79"/>
        <v>#N/A</v>
      </c>
      <c r="S98" s="35" t="e">
        <f t="shared" si="80"/>
        <v>#N/A</v>
      </c>
      <c r="T98" s="36">
        <f t="shared" si="81"/>
        <v>857500</v>
      </c>
      <c r="U98" s="36">
        <f t="shared" si="82"/>
        <v>857500</v>
      </c>
      <c r="V98" s="33" t="e">
        <f t="shared" si="83"/>
        <v>#N/A</v>
      </c>
      <c r="W98" s="33" t="e">
        <f t="shared" si="84"/>
        <v>#N/A</v>
      </c>
      <c r="X98" s="50" t="e">
        <f t="shared" si="85"/>
        <v>#N/A</v>
      </c>
      <c r="Y98" s="50" t="e">
        <f t="shared" si="86"/>
        <v>#N/A</v>
      </c>
      <c r="Z98" s="36" t="e">
        <f t="shared" si="87"/>
        <v>#N/A</v>
      </c>
      <c r="AA98" s="15" t="e">
        <f t="shared" si="88"/>
        <v>#N/A</v>
      </c>
      <c r="AB98" s="33" t="e">
        <f t="shared" si="89"/>
        <v>#N/A</v>
      </c>
    </row>
    <row r="99" spans="1:28" ht="13.5" x14ac:dyDescent="0.25">
      <c r="A99" s="160" t="str">
        <f t="array" ref="A99">IFERROR(INDEX('Espesor E5'!A12:A61, SMALL(IF('Espesor E5'!J12:J61&gt;=0.2, ROW('Espesor E5'!J12:J61)-ROW('Espesor E5'!A12)+1), ROW(4:4))), "N/A")</f>
        <v>N/A</v>
      </c>
      <c r="B99" s="72" t="e">
        <f>VLOOKUP($A99,'Espesor E5'!$A$9:$J$58,2,FALSE)</f>
        <v>#N/A</v>
      </c>
      <c r="C99" s="72" t="e">
        <f>VLOOKUP($A99,'Espesor E5'!$A$9:$J$58,3,FALSE)</f>
        <v>#N/A</v>
      </c>
      <c r="D99" s="32" t="e">
        <f>VLOOKUP($A99,'Espesor E5'!$A$9:$J$58,4,FALSE)</f>
        <v>#N/A</v>
      </c>
      <c r="E99" s="32" t="e">
        <f>VLOOKUP($A99,'Espesor E5'!$A$9:$J$58,5,FALSE)</f>
        <v>#N/A</v>
      </c>
      <c r="F99" s="32" t="e">
        <f>VLOOKUP($A99,'Espesor E5'!$A$9:$J$58,6,FALSE)</f>
        <v>#N/A</v>
      </c>
      <c r="G99" s="32" t="e">
        <f>VLOOKUP($A99,'Espesor E5'!$A$9:$J$58,7,FALSE)</f>
        <v>#N/A</v>
      </c>
      <c r="H99" s="32" t="e">
        <f t="shared" si="72"/>
        <v>#N/A</v>
      </c>
      <c r="I99" s="4" t="s">
        <v>52</v>
      </c>
      <c r="J99" s="33" t="e">
        <f t="shared" si="73"/>
        <v>#N/A</v>
      </c>
      <c r="K99" s="34" t="e">
        <f>VLOOKUP($A99,'Espesor E5'!$A$9:$J$58,10,FALSE)</f>
        <v>#N/A</v>
      </c>
      <c r="L99" s="34">
        <v>0.05</v>
      </c>
      <c r="M99" s="33" t="e">
        <f t="shared" si="74"/>
        <v>#N/A</v>
      </c>
      <c r="N99" s="33" t="e">
        <f t="shared" si="75"/>
        <v>#N/A</v>
      </c>
      <c r="O99" s="33" t="e">
        <f t="shared" si="76"/>
        <v>#N/A</v>
      </c>
      <c r="P99" s="33" t="e">
        <f t="shared" si="77"/>
        <v>#N/A</v>
      </c>
      <c r="Q99" s="33" t="e">
        <f t="shared" si="78"/>
        <v>#N/A</v>
      </c>
      <c r="R99" s="33" t="e">
        <f t="shared" si="79"/>
        <v>#N/A</v>
      </c>
      <c r="S99" s="35" t="e">
        <f t="shared" si="80"/>
        <v>#N/A</v>
      </c>
      <c r="T99" s="36">
        <f t="shared" si="81"/>
        <v>857500</v>
      </c>
      <c r="U99" s="36">
        <f t="shared" si="82"/>
        <v>857500</v>
      </c>
      <c r="V99" s="33" t="e">
        <f t="shared" si="83"/>
        <v>#N/A</v>
      </c>
      <c r="W99" s="33" t="e">
        <f t="shared" si="84"/>
        <v>#N/A</v>
      </c>
      <c r="X99" s="50" t="e">
        <f t="shared" si="85"/>
        <v>#N/A</v>
      </c>
      <c r="Y99" s="50" t="e">
        <f t="shared" si="86"/>
        <v>#N/A</v>
      </c>
      <c r="Z99" s="36" t="e">
        <f t="shared" si="87"/>
        <v>#N/A</v>
      </c>
      <c r="AA99" s="15" t="e">
        <f t="shared" si="88"/>
        <v>#N/A</v>
      </c>
      <c r="AB99" s="33" t="e">
        <f t="shared" si="89"/>
        <v>#N/A</v>
      </c>
    </row>
    <row r="100" spans="1:28" ht="13.5" x14ac:dyDescent="0.25">
      <c r="A100" s="160" t="str">
        <f t="array" ref="A100">IFERROR(INDEX('Espesor E5'!A13:A62, SMALL(IF('Espesor E5'!J13:J62&gt;=0.2, ROW('Espesor E5'!J13:J62)-ROW('Espesor E5'!A13)+1), ROW(5:5))), "N/A")</f>
        <v>N/A</v>
      </c>
      <c r="B100" s="72" t="e">
        <f>VLOOKUP($A100,'Espesor E5'!$A$9:$J$58,2,FALSE)</f>
        <v>#N/A</v>
      </c>
      <c r="C100" s="72" t="e">
        <f>VLOOKUP($A100,'Espesor E5'!$A$9:$J$58,3,FALSE)</f>
        <v>#N/A</v>
      </c>
      <c r="D100" s="32" t="e">
        <f>VLOOKUP($A100,'Espesor E5'!$A$9:$J$58,4,FALSE)</f>
        <v>#N/A</v>
      </c>
      <c r="E100" s="32" t="e">
        <f>VLOOKUP($A100,'Espesor E5'!$A$9:$J$58,5,FALSE)</f>
        <v>#N/A</v>
      </c>
      <c r="F100" s="32" t="e">
        <f>VLOOKUP($A100,'Espesor E5'!$A$9:$J$58,6,FALSE)</f>
        <v>#N/A</v>
      </c>
      <c r="G100" s="32" t="e">
        <f>VLOOKUP($A100,'Espesor E5'!$A$9:$J$58,7,FALSE)</f>
        <v>#N/A</v>
      </c>
      <c r="H100" s="32" t="e">
        <f t="shared" si="72"/>
        <v>#N/A</v>
      </c>
      <c r="I100" s="4" t="s">
        <v>52</v>
      </c>
      <c r="J100" s="33" t="e">
        <f t="shared" si="73"/>
        <v>#N/A</v>
      </c>
      <c r="K100" s="34" t="e">
        <f>VLOOKUP($A100,'Espesor E5'!$A$9:$J$58,10,FALSE)</f>
        <v>#N/A</v>
      </c>
      <c r="L100" s="34">
        <v>0.05</v>
      </c>
      <c r="M100" s="33" t="e">
        <f t="shared" si="74"/>
        <v>#N/A</v>
      </c>
      <c r="N100" s="33" t="e">
        <f t="shared" si="75"/>
        <v>#N/A</v>
      </c>
      <c r="O100" s="33" t="e">
        <f t="shared" si="76"/>
        <v>#N/A</v>
      </c>
      <c r="P100" s="33" t="e">
        <f t="shared" si="77"/>
        <v>#N/A</v>
      </c>
      <c r="Q100" s="33" t="e">
        <f t="shared" si="78"/>
        <v>#N/A</v>
      </c>
      <c r="R100" s="33" t="e">
        <f t="shared" si="79"/>
        <v>#N/A</v>
      </c>
      <c r="S100" s="35" t="e">
        <f t="shared" si="80"/>
        <v>#N/A</v>
      </c>
      <c r="T100" s="36">
        <f t="shared" si="81"/>
        <v>857500</v>
      </c>
      <c r="U100" s="36">
        <f t="shared" si="82"/>
        <v>857500</v>
      </c>
      <c r="V100" s="33" t="e">
        <f t="shared" si="83"/>
        <v>#N/A</v>
      </c>
      <c r="W100" s="33" t="e">
        <f t="shared" si="84"/>
        <v>#N/A</v>
      </c>
      <c r="X100" s="50" t="e">
        <f t="shared" si="85"/>
        <v>#N/A</v>
      </c>
      <c r="Y100" s="50" t="e">
        <f t="shared" si="86"/>
        <v>#N/A</v>
      </c>
      <c r="Z100" s="36" t="e">
        <f t="shared" si="87"/>
        <v>#N/A</v>
      </c>
      <c r="AA100" s="15" t="e">
        <f t="shared" si="88"/>
        <v>#N/A</v>
      </c>
      <c r="AB100" s="33" t="e">
        <f t="shared" si="89"/>
        <v>#N/A</v>
      </c>
    </row>
    <row r="101" spans="1:28" ht="13.5" x14ac:dyDescent="0.25">
      <c r="A101" s="160" t="str">
        <f t="array" ref="A101">IFERROR(INDEX('Espesor E5'!A14:A63, SMALL(IF('Espesor E5'!J14:J63&gt;=0.2, ROW('Espesor E5'!J14:J63)-ROW('Espesor E5'!A14)+1), ROW(6:6))), "N/A")</f>
        <v>N/A</v>
      </c>
      <c r="B101" s="72" t="e">
        <f>VLOOKUP($A101,'Espesor E5'!$A$9:$J$58,2,FALSE)</f>
        <v>#N/A</v>
      </c>
      <c r="C101" s="72" t="e">
        <f>VLOOKUP($A101,'Espesor E5'!$A$9:$J$58,3,FALSE)</f>
        <v>#N/A</v>
      </c>
      <c r="D101" s="32" t="e">
        <f>VLOOKUP($A101,'Espesor E5'!$A$9:$J$58,4,FALSE)</f>
        <v>#N/A</v>
      </c>
      <c r="E101" s="32" t="e">
        <f>VLOOKUP($A101,'Espesor E5'!$A$9:$J$58,5,FALSE)</f>
        <v>#N/A</v>
      </c>
      <c r="F101" s="32" t="e">
        <f>VLOOKUP($A101,'Espesor E5'!$A$9:$J$58,6,FALSE)</f>
        <v>#N/A</v>
      </c>
      <c r="G101" s="32" t="e">
        <f>VLOOKUP($A101,'Espesor E5'!$A$9:$J$58,7,FALSE)</f>
        <v>#N/A</v>
      </c>
      <c r="H101" s="32" t="e">
        <f t="shared" si="72"/>
        <v>#N/A</v>
      </c>
      <c r="I101" s="4" t="s">
        <v>52</v>
      </c>
      <c r="J101" s="33" t="e">
        <f t="shared" si="73"/>
        <v>#N/A</v>
      </c>
      <c r="K101" s="34" t="e">
        <f>VLOOKUP($A101,'Espesor E5'!$A$9:$J$58,10,FALSE)</f>
        <v>#N/A</v>
      </c>
      <c r="L101" s="34">
        <v>0.05</v>
      </c>
      <c r="M101" s="33" t="e">
        <f t="shared" si="74"/>
        <v>#N/A</v>
      </c>
      <c r="N101" s="33" t="e">
        <f t="shared" si="75"/>
        <v>#N/A</v>
      </c>
      <c r="O101" s="33" t="e">
        <f t="shared" si="76"/>
        <v>#N/A</v>
      </c>
      <c r="P101" s="33" t="e">
        <f t="shared" si="77"/>
        <v>#N/A</v>
      </c>
      <c r="Q101" s="33" t="e">
        <f t="shared" si="78"/>
        <v>#N/A</v>
      </c>
      <c r="R101" s="33" t="e">
        <f t="shared" si="79"/>
        <v>#N/A</v>
      </c>
      <c r="S101" s="35" t="e">
        <f t="shared" si="80"/>
        <v>#N/A</v>
      </c>
      <c r="T101" s="36">
        <f t="shared" si="81"/>
        <v>857500</v>
      </c>
      <c r="U101" s="36">
        <f t="shared" si="82"/>
        <v>857500</v>
      </c>
      <c r="V101" s="33" t="e">
        <f t="shared" si="83"/>
        <v>#N/A</v>
      </c>
      <c r="W101" s="33" t="e">
        <f t="shared" si="84"/>
        <v>#N/A</v>
      </c>
      <c r="X101" s="50" t="e">
        <f t="shared" si="85"/>
        <v>#N/A</v>
      </c>
      <c r="Y101" s="50" t="e">
        <f t="shared" si="86"/>
        <v>#N/A</v>
      </c>
      <c r="Z101" s="36" t="e">
        <f t="shared" si="87"/>
        <v>#N/A</v>
      </c>
      <c r="AA101" s="15" t="e">
        <f t="shared" si="88"/>
        <v>#N/A</v>
      </c>
      <c r="AB101" s="33" t="e">
        <f t="shared" si="89"/>
        <v>#N/A</v>
      </c>
    </row>
    <row r="102" spans="1:28" ht="13.5" x14ac:dyDescent="0.25">
      <c r="A102" s="160" t="str">
        <f t="array" ref="A102">IFERROR(INDEX('Espesor E5'!A15:A64, SMALL(IF('Espesor E5'!J15:J64&gt;=0.2, ROW('Espesor E5'!J15:J64)-ROW('Espesor E5'!A15)+1), ROW(7:7))), "N/A")</f>
        <v>N/A</v>
      </c>
      <c r="B102" s="72" t="e">
        <f>VLOOKUP($A102,'Espesor E5'!$A$9:$J$58,2,FALSE)</f>
        <v>#N/A</v>
      </c>
      <c r="C102" s="72" t="e">
        <f>VLOOKUP($A102,'Espesor E5'!$A$9:$J$58,3,FALSE)</f>
        <v>#N/A</v>
      </c>
      <c r="D102" s="32" t="e">
        <f>VLOOKUP($A102,'Espesor E5'!$A$9:$J$58,4,FALSE)</f>
        <v>#N/A</v>
      </c>
      <c r="E102" s="32" t="e">
        <f>VLOOKUP($A102,'Espesor E5'!$A$9:$J$58,5,FALSE)</f>
        <v>#N/A</v>
      </c>
      <c r="F102" s="32" t="e">
        <f>VLOOKUP($A102,'Espesor E5'!$A$9:$J$58,6,FALSE)</f>
        <v>#N/A</v>
      </c>
      <c r="G102" s="32" t="e">
        <f>VLOOKUP($A102,'Espesor E5'!$A$9:$J$58,7,FALSE)</f>
        <v>#N/A</v>
      </c>
      <c r="H102" s="32" t="e">
        <f t="shared" si="72"/>
        <v>#N/A</v>
      </c>
      <c r="I102" s="4" t="s">
        <v>52</v>
      </c>
      <c r="J102" s="33" t="e">
        <f t="shared" si="73"/>
        <v>#N/A</v>
      </c>
      <c r="K102" s="34" t="e">
        <f>VLOOKUP($A102,'Espesor E5'!$A$9:$J$58,10,FALSE)</f>
        <v>#N/A</v>
      </c>
      <c r="L102" s="34">
        <v>0.05</v>
      </c>
      <c r="M102" s="33" t="e">
        <f t="shared" si="74"/>
        <v>#N/A</v>
      </c>
      <c r="N102" s="33" t="e">
        <f t="shared" si="75"/>
        <v>#N/A</v>
      </c>
      <c r="O102" s="33" t="e">
        <f t="shared" si="76"/>
        <v>#N/A</v>
      </c>
      <c r="P102" s="33" t="e">
        <f t="shared" si="77"/>
        <v>#N/A</v>
      </c>
      <c r="Q102" s="33" t="e">
        <f t="shared" si="78"/>
        <v>#N/A</v>
      </c>
      <c r="R102" s="33" t="e">
        <f t="shared" si="79"/>
        <v>#N/A</v>
      </c>
      <c r="S102" s="35" t="e">
        <f t="shared" si="80"/>
        <v>#N/A</v>
      </c>
      <c r="T102" s="36">
        <f t="shared" si="81"/>
        <v>857500</v>
      </c>
      <c r="U102" s="36">
        <f t="shared" si="82"/>
        <v>857500</v>
      </c>
      <c r="V102" s="33" t="e">
        <f t="shared" si="83"/>
        <v>#N/A</v>
      </c>
      <c r="W102" s="33" t="e">
        <f t="shared" si="84"/>
        <v>#N/A</v>
      </c>
      <c r="X102" s="50" t="e">
        <f t="shared" si="85"/>
        <v>#N/A</v>
      </c>
      <c r="Y102" s="50" t="e">
        <f t="shared" si="86"/>
        <v>#N/A</v>
      </c>
      <c r="Z102" s="36" t="e">
        <f t="shared" si="87"/>
        <v>#N/A</v>
      </c>
      <c r="AA102" s="15" t="e">
        <f t="shared" si="88"/>
        <v>#N/A</v>
      </c>
      <c r="AB102" s="33" t="e">
        <f t="shared" si="89"/>
        <v>#N/A</v>
      </c>
    </row>
    <row r="103" spans="1:28" ht="13.5" x14ac:dyDescent="0.25">
      <c r="A103" s="160" t="str">
        <f t="array" ref="A103">IFERROR(INDEX('Espesor E5'!A16:A65, SMALL(IF('Espesor E5'!J16:J65&gt;=0.2, ROW('Espesor E5'!J16:J65)-ROW('Espesor E5'!A16)+1), ROW(8:8))), "N/A")</f>
        <v>N/A</v>
      </c>
      <c r="B103" s="72" t="e">
        <f>VLOOKUP($A103,'Espesor E5'!$A$9:$J$58,2,FALSE)</f>
        <v>#N/A</v>
      </c>
      <c r="C103" s="72" t="e">
        <f>VLOOKUP($A103,'Espesor E5'!$A$9:$J$58,3,FALSE)</f>
        <v>#N/A</v>
      </c>
      <c r="D103" s="32" t="e">
        <f>VLOOKUP($A103,'Espesor E5'!$A$9:$J$58,4,FALSE)</f>
        <v>#N/A</v>
      </c>
      <c r="E103" s="32" t="e">
        <f>VLOOKUP($A103,'Espesor E5'!$A$9:$J$58,5,FALSE)</f>
        <v>#N/A</v>
      </c>
      <c r="F103" s="32" t="e">
        <f>VLOOKUP($A103,'Espesor E5'!$A$9:$J$58,6,FALSE)</f>
        <v>#N/A</v>
      </c>
      <c r="G103" s="32" t="e">
        <f>VLOOKUP($A103,'Espesor E5'!$A$9:$J$58,7,FALSE)</f>
        <v>#N/A</v>
      </c>
      <c r="H103" s="32" t="e">
        <f t="shared" si="72"/>
        <v>#N/A</v>
      </c>
      <c r="I103" s="4" t="s">
        <v>52</v>
      </c>
      <c r="J103" s="33" t="e">
        <f t="shared" si="73"/>
        <v>#N/A</v>
      </c>
      <c r="K103" s="34" t="e">
        <f>VLOOKUP($A103,'Espesor E5'!$A$9:$J$58,10,FALSE)</f>
        <v>#N/A</v>
      </c>
      <c r="L103" s="34">
        <v>0.05</v>
      </c>
      <c r="M103" s="33" t="e">
        <f t="shared" si="74"/>
        <v>#N/A</v>
      </c>
      <c r="N103" s="33" t="e">
        <f t="shared" si="75"/>
        <v>#N/A</v>
      </c>
      <c r="O103" s="33" t="e">
        <f t="shared" si="76"/>
        <v>#N/A</v>
      </c>
      <c r="P103" s="33" t="e">
        <f t="shared" si="77"/>
        <v>#N/A</v>
      </c>
      <c r="Q103" s="33" t="e">
        <f t="shared" si="78"/>
        <v>#N/A</v>
      </c>
      <c r="R103" s="33" t="e">
        <f t="shared" si="79"/>
        <v>#N/A</v>
      </c>
      <c r="S103" s="35" t="e">
        <f t="shared" si="80"/>
        <v>#N/A</v>
      </c>
      <c r="T103" s="36">
        <f t="shared" si="81"/>
        <v>857500</v>
      </c>
      <c r="U103" s="36">
        <f t="shared" si="82"/>
        <v>857500</v>
      </c>
      <c r="V103" s="33" t="e">
        <f t="shared" si="83"/>
        <v>#N/A</v>
      </c>
      <c r="W103" s="33" t="e">
        <f t="shared" si="84"/>
        <v>#N/A</v>
      </c>
      <c r="X103" s="50" t="e">
        <f t="shared" si="85"/>
        <v>#N/A</v>
      </c>
      <c r="Y103" s="50" t="e">
        <f t="shared" si="86"/>
        <v>#N/A</v>
      </c>
      <c r="Z103" s="36" t="e">
        <f t="shared" si="87"/>
        <v>#N/A</v>
      </c>
      <c r="AA103" s="15" t="e">
        <f t="shared" si="88"/>
        <v>#N/A</v>
      </c>
      <c r="AB103" s="33" t="e">
        <f t="shared" si="89"/>
        <v>#N/A</v>
      </c>
    </row>
    <row r="104" spans="1:28" ht="13.5" x14ac:dyDescent="0.25">
      <c r="A104" s="160" t="str">
        <f t="array" ref="A104">IFERROR(INDEX('Espesor E5'!A17:A66, SMALL(IF('Espesor E5'!J17:J66&gt;=0.2, ROW('Espesor E5'!J17:J66)-ROW('Espesor E5'!A17)+1), ROW(9:9))), "N/A")</f>
        <v>N/A</v>
      </c>
      <c r="B104" s="72" t="e">
        <f>VLOOKUP($A104,'Espesor E5'!$A$9:$J$58,2,FALSE)</f>
        <v>#N/A</v>
      </c>
      <c r="C104" s="72" t="e">
        <f>VLOOKUP($A104,'Espesor E5'!$A$9:$J$58,3,FALSE)</f>
        <v>#N/A</v>
      </c>
      <c r="D104" s="32" t="e">
        <f>VLOOKUP($A104,'Espesor E5'!$A$9:$J$58,4,FALSE)</f>
        <v>#N/A</v>
      </c>
      <c r="E104" s="32" t="e">
        <f>VLOOKUP($A104,'Espesor E5'!$A$9:$J$58,5,FALSE)</f>
        <v>#N/A</v>
      </c>
      <c r="F104" s="32" t="e">
        <f>VLOOKUP($A104,'Espesor E5'!$A$9:$J$58,6,FALSE)</f>
        <v>#N/A</v>
      </c>
      <c r="G104" s="32" t="e">
        <f>VLOOKUP($A104,'Espesor E5'!$A$9:$J$58,7,FALSE)</f>
        <v>#N/A</v>
      </c>
      <c r="H104" s="32" t="e">
        <f t="shared" si="72"/>
        <v>#N/A</v>
      </c>
      <c r="I104" s="4" t="s">
        <v>52</v>
      </c>
      <c r="J104" s="33" t="e">
        <f t="shared" si="73"/>
        <v>#N/A</v>
      </c>
      <c r="K104" s="34" t="e">
        <f>VLOOKUP($A104,'Espesor E5'!$A$9:$J$58,10,FALSE)</f>
        <v>#N/A</v>
      </c>
      <c r="L104" s="34">
        <v>0.05</v>
      </c>
      <c r="M104" s="33" t="e">
        <f t="shared" si="74"/>
        <v>#N/A</v>
      </c>
      <c r="N104" s="33" t="e">
        <f t="shared" si="75"/>
        <v>#N/A</v>
      </c>
      <c r="O104" s="33" t="e">
        <f t="shared" si="76"/>
        <v>#N/A</v>
      </c>
      <c r="P104" s="33" t="e">
        <f t="shared" si="77"/>
        <v>#N/A</v>
      </c>
      <c r="Q104" s="33" t="e">
        <f t="shared" si="78"/>
        <v>#N/A</v>
      </c>
      <c r="R104" s="33" t="e">
        <f t="shared" si="79"/>
        <v>#N/A</v>
      </c>
      <c r="S104" s="35" t="e">
        <f t="shared" si="80"/>
        <v>#N/A</v>
      </c>
      <c r="T104" s="36">
        <f t="shared" si="81"/>
        <v>857500</v>
      </c>
      <c r="U104" s="36">
        <f t="shared" si="82"/>
        <v>857500</v>
      </c>
      <c r="V104" s="33" t="e">
        <f t="shared" si="83"/>
        <v>#N/A</v>
      </c>
      <c r="W104" s="33" t="e">
        <f t="shared" si="84"/>
        <v>#N/A</v>
      </c>
      <c r="X104" s="50" t="e">
        <f t="shared" si="85"/>
        <v>#N/A</v>
      </c>
      <c r="Y104" s="50" t="e">
        <f t="shared" si="86"/>
        <v>#N/A</v>
      </c>
      <c r="Z104" s="36" t="e">
        <f t="shared" si="87"/>
        <v>#N/A</v>
      </c>
      <c r="AA104" s="15" t="e">
        <f t="shared" si="88"/>
        <v>#N/A</v>
      </c>
      <c r="AB104" s="33" t="e">
        <f t="shared" si="89"/>
        <v>#N/A</v>
      </c>
    </row>
    <row r="105" spans="1:28" ht="13.5" x14ac:dyDescent="0.25">
      <c r="A105" s="160" t="str">
        <f t="array" ref="A105">IFERROR(INDEX('Espesor E5'!A18:A67, SMALL(IF('Espesor E5'!J18:J67&gt;=0.2, ROW('Espesor E5'!J18:J67)-ROW('Espesor E5'!A18)+1), ROW(10:10))), "N/A")</f>
        <v>N/A</v>
      </c>
      <c r="B105" s="72" t="e">
        <f>VLOOKUP($A105,'Espesor E5'!$A$9:$J$58,2,FALSE)</f>
        <v>#N/A</v>
      </c>
      <c r="C105" s="72" t="e">
        <f>VLOOKUP($A105,'Espesor E5'!$A$9:$J$58,3,FALSE)</f>
        <v>#N/A</v>
      </c>
      <c r="D105" s="32" t="e">
        <f>VLOOKUP($A105,'Espesor E5'!$A$9:$J$58,4,FALSE)</f>
        <v>#N/A</v>
      </c>
      <c r="E105" s="32" t="e">
        <f>VLOOKUP($A105,'Espesor E5'!$A$9:$J$58,5,FALSE)</f>
        <v>#N/A</v>
      </c>
      <c r="F105" s="32" t="e">
        <f>VLOOKUP($A105,'Espesor E5'!$A$9:$J$58,6,FALSE)</f>
        <v>#N/A</v>
      </c>
      <c r="G105" s="32" t="e">
        <f>VLOOKUP($A105,'Espesor E5'!$A$9:$J$58,7,FALSE)</f>
        <v>#N/A</v>
      </c>
      <c r="H105" s="32" t="e">
        <f t="shared" si="72"/>
        <v>#N/A</v>
      </c>
      <c r="I105" s="4" t="s">
        <v>52</v>
      </c>
      <c r="J105" s="33" t="e">
        <f t="shared" si="73"/>
        <v>#N/A</v>
      </c>
      <c r="K105" s="34" t="e">
        <f>VLOOKUP($A105,'Espesor E5'!$A$9:$J$58,10,FALSE)</f>
        <v>#N/A</v>
      </c>
      <c r="L105" s="34">
        <v>0.05</v>
      </c>
      <c r="M105" s="33" t="e">
        <f t="shared" si="74"/>
        <v>#N/A</v>
      </c>
      <c r="N105" s="33" t="e">
        <f t="shared" si="75"/>
        <v>#N/A</v>
      </c>
      <c r="O105" s="33" t="e">
        <f t="shared" si="76"/>
        <v>#N/A</v>
      </c>
      <c r="P105" s="33" t="e">
        <f t="shared" si="77"/>
        <v>#N/A</v>
      </c>
      <c r="Q105" s="33" t="e">
        <f t="shared" si="78"/>
        <v>#N/A</v>
      </c>
      <c r="R105" s="33" t="e">
        <f t="shared" si="79"/>
        <v>#N/A</v>
      </c>
      <c r="S105" s="35" t="e">
        <f t="shared" si="80"/>
        <v>#N/A</v>
      </c>
      <c r="T105" s="36">
        <f t="shared" si="81"/>
        <v>857500</v>
      </c>
      <c r="U105" s="36">
        <f t="shared" si="82"/>
        <v>857500</v>
      </c>
      <c r="V105" s="33" t="e">
        <f t="shared" si="83"/>
        <v>#N/A</v>
      </c>
      <c r="W105" s="33" t="e">
        <f t="shared" si="84"/>
        <v>#N/A</v>
      </c>
      <c r="X105" s="50" t="e">
        <f t="shared" si="85"/>
        <v>#N/A</v>
      </c>
      <c r="Y105" s="50" t="e">
        <f t="shared" si="86"/>
        <v>#N/A</v>
      </c>
      <c r="Z105" s="36" t="e">
        <f t="shared" si="87"/>
        <v>#N/A</v>
      </c>
      <c r="AA105" s="15" t="e">
        <f t="shared" si="88"/>
        <v>#N/A</v>
      </c>
      <c r="AB105" s="33" t="e">
        <f t="shared" si="89"/>
        <v>#N/A</v>
      </c>
    </row>
    <row r="106" spans="1:28" ht="13.5" x14ac:dyDescent="0.25">
      <c r="A106" s="160" t="str">
        <f t="array" ref="A106">IFERROR(INDEX('Espesor E5'!A19:A68, SMALL(IF('Espesor E5'!J19:J68&gt;=0.2, ROW('Espesor E5'!J19:J68)-ROW('Espesor E5'!A19)+1), ROW(11:11))), "N/A")</f>
        <v>N/A</v>
      </c>
      <c r="B106" s="72" t="e">
        <f>VLOOKUP($A106,'Espesor E5'!$A$9:$J$58,2,FALSE)</f>
        <v>#N/A</v>
      </c>
      <c r="C106" s="72" t="e">
        <f>VLOOKUP($A106,'Espesor E5'!$A$9:$J$58,3,FALSE)</f>
        <v>#N/A</v>
      </c>
      <c r="D106" s="32" t="e">
        <f>VLOOKUP($A106,'Espesor E5'!$A$9:$J$58,4,FALSE)</f>
        <v>#N/A</v>
      </c>
      <c r="E106" s="32" t="e">
        <f>VLOOKUP($A106,'Espesor E5'!$A$9:$J$58,5,FALSE)</f>
        <v>#N/A</v>
      </c>
      <c r="F106" s="32" t="e">
        <f>VLOOKUP($A106,'Espesor E5'!$A$9:$J$58,6,FALSE)</f>
        <v>#N/A</v>
      </c>
      <c r="G106" s="32" t="e">
        <f>VLOOKUP($A106,'Espesor E5'!$A$9:$J$58,7,FALSE)</f>
        <v>#N/A</v>
      </c>
      <c r="H106" s="32" t="e">
        <f t="shared" si="72"/>
        <v>#N/A</v>
      </c>
      <c r="I106" s="4" t="s">
        <v>52</v>
      </c>
      <c r="J106" s="33" t="e">
        <f t="shared" si="73"/>
        <v>#N/A</v>
      </c>
      <c r="K106" s="34" t="e">
        <f>VLOOKUP($A106,'Espesor E5'!$A$9:$J$58,10,FALSE)</f>
        <v>#N/A</v>
      </c>
      <c r="L106" s="34">
        <v>0.05</v>
      </c>
      <c r="M106" s="33" t="e">
        <f t="shared" si="74"/>
        <v>#N/A</v>
      </c>
      <c r="N106" s="33" t="e">
        <f t="shared" si="75"/>
        <v>#N/A</v>
      </c>
      <c r="O106" s="33" t="e">
        <f t="shared" si="76"/>
        <v>#N/A</v>
      </c>
      <c r="P106" s="33" t="e">
        <f t="shared" si="77"/>
        <v>#N/A</v>
      </c>
      <c r="Q106" s="33" t="e">
        <f t="shared" si="78"/>
        <v>#N/A</v>
      </c>
      <c r="R106" s="33" t="e">
        <f t="shared" si="79"/>
        <v>#N/A</v>
      </c>
      <c r="S106" s="35" t="e">
        <f t="shared" si="80"/>
        <v>#N/A</v>
      </c>
      <c r="T106" s="36">
        <f t="shared" si="81"/>
        <v>857500</v>
      </c>
      <c r="U106" s="36">
        <f t="shared" si="82"/>
        <v>857500</v>
      </c>
      <c r="V106" s="33" t="e">
        <f t="shared" si="83"/>
        <v>#N/A</v>
      </c>
      <c r="W106" s="33" t="e">
        <f t="shared" si="84"/>
        <v>#N/A</v>
      </c>
      <c r="X106" s="50" t="e">
        <f t="shared" si="85"/>
        <v>#N/A</v>
      </c>
      <c r="Y106" s="50" t="e">
        <f t="shared" si="86"/>
        <v>#N/A</v>
      </c>
      <c r="Z106" s="36" t="e">
        <f t="shared" si="87"/>
        <v>#N/A</v>
      </c>
      <c r="AA106" s="15" t="e">
        <f t="shared" si="88"/>
        <v>#N/A</v>
      </c>
      <c r="AB106" s="33" t="e">
        <f t="shared" si="89"/>
        <v>#N/A</v>
      </c>
    </row>
    <row r="107" spans="1:28" ht="13.5" x14ac:dyDescent="0.25">
      <c r="A107" s="160" t="str">
        <f t="array" ref="A107">IFERROR(INDEX('Espesor E5'!A20:A69, SMALL(IF('Espesor E5'!J20:J69&gt;=0.2, ROW('Espesor E5'!J20:J69)-ROW('Espesor E5'!A20)+1), ROW(12:12))), "N/A")</f>
        <v>N/A</v>
      </c>
      <c r="B107" s="72" t="e">
        <f>VLOOKUP($A107,'Espesor E5'!$A$9:$J$58,2,FALSE)</f>
        <v>#N/A</v>
      </c>
      <c r="C107" s="72" t="e">
        <f>VLOOKUP($A107,'Espesor E5'!$A$9:$J$58,3,FALSE)</f>
        <v>#N/A</v>
      </c>
      <c r="D107" s="32" t="e">
        <f>VLOOKUP($A107,'Espesor E5'!$A$9:$J$58,4,FALSE)</f>
        <v>#N/A</v>
      </c>
      <c r="E107" s="32" t="e">
        <f>VLOOKUP($A107,'Espesor E5'!$A$9:$J$58,5,FALSE)</f>
        <v>#N/A</v>
      </c>
      <c r="F107" s="32" t="e">
        <f>VLOOKUP($A107,'Espesor E5'!$A$9:$J$58,6,FALSE)</f>
        <v>#N/A</v>
      </c>
      <c r="G107" s="32" t="e">
        <f>VLOOKUP($A107,'Espesor E5'!$A$9:$J$58,7,FALSE)</f>
        <v>#N/A</v>
      </c>
      <c r="H107" s="32" t="e">
        <f t="shared" si="72"/>
        <v>#N/A</v>
      </c>
      <c r="I107" s="4" t="s">
        <v>52</v>
      </c>
      <c r="J107" s="33" t="e">
        <f t="shared" si="73"/>
        <v>#N/A</v>
      </c>
      <c r="K107" s="34" t="e">
        <f>VLOOKUP($A107,'Espesor E5'!$A$9:$J$58,10,FALSE)</f>
        <v>#N/A</v>
      </c>
      <c r="L107" s="34">
        <v>0.05</v>
      </c>
      <c r="M107" s="33" t="e">
        <f t="shared" si="74"/>
        <v>#N/A</v>
      </c>
      <c r="N107" s="33" t="e">
        <f t="shared" si="75"/>
        <v>#N/A</v>
      </c>
      <c r="O107" s="33" t="e">
        <f t="shared" si="76"/>
        <v>#N/A</v>
      </c>
      <c r="P107" s="33" t="e">
        <f t="shared" si="77"/>
        <v>#N/A</v>
      </c>
      <c r="Q107" s="33" t="e">
        <f t="shared" si="78"/>
        <v>#N/A</v>
      </c>
      <c r="R107" s="33" t="e">
        <f t="shared" si="79"/>
        <v>#N/A</v>
      </c>
      <c r="S107" s="35" t="e">
        <f t="shared" si="80"/>
        <v>#N/A</v>
      </c>
      <c r="T107" s="36">
        <f t="shared" si="81"/>
        <v>857500</v>
      </c>
      <c r="U107" s="36">
        <f t="shared" si="82"/>
        <v>857500</v>
      </c>
      <c r="V107" s="33" t="e">
        <f t="shared" si="83"/>
        <v>#N/A</v>
      </c>
      <c r="W107" s="33" t="e">
        <f t="shared" si="84"/>
        <v>#N/A</v>
      </c>
      <c r="X107" s="50" t="e">
        <f t="shared" si="85"/>
        <v>#N/A</v>
      </c>
      <c r="Y107" s="50" t="e">
        <f t="shared" si="86"/>
        <v>#N/A</v>
      </c>
      <c r="Z107" s="36" t="e">
        <f t="shared" si="87"/>
        <v>#N/A</v>
      </c>
      <c r="AA107" s="15" t="e">
        <f t="shared" si="88"/>
        <v>#N/A</v>
      </c>
      <c r="AB107" s="33" t="e">
        <f t="shared" si="89"/>
        <v>#N/A</v>
      </c>
    </row>
    <row r="108" spans="1:28" ht="13.5" x14ac:dyDescent="0.25">
      <c r="A108" s="160" t="str">
        <f t="array" ref="A108">IFERROR(INDEX('Espesor E5'!A21:A70, SMALL(IF('Espesor E5'!J21:J70&gt;=0.2, ROW('Espesor E5'!J21:J70)-ROW('Espesor E5'!A21)+1), ROW(13:13))), "N/A")</f>
        <v>N/A</v>
      </c>
      <c r="B108" s="72" t="e">
        <f>VLOOKUP($A108,'Espesor E5'!$A$9:$J$58,2,FALSE)</f>
        <v>#N/A</v>
      </c>
      <c r="C108" s="72" t="e">
        <f>VLOOKUP($A108,'Espesor E5'!$A$9:$J$58,3,FALSE)</f>
        <v>#N/A</v>
      </c>
      <c r="D108" s="32" t="e">
        <f>VLOOKUP($A108,'Espesor E5'!$A$9:$J$58,4,FALSE)</f>
        <v>#N/A</v>
      </c>
      <c r="E108" s="32" t="e">
        <f>VLOOKUP($A108,'Espesor E5'!$A$9:$J$58,5,FALSE)</f>
        <v>#N/A</v>
      </c>
      <c r="F108" s="32" t="e">
        <f>VLOOKUP($A108,'Espesor E5'!$A$9:$J$58,6,FALSE)</f>
        <v>#N/A</v>
      </c>
      <c r="G108" s="32" t="e">
        <f>VLOOKUP($A108,'Espesor E5'!$A$9:$J$58,7,FALSE)</f>
        <v>#N/A</v>
      </c>
      <c r="H108" s="32" t="e">
        <f t="shared" si="72"/>
        <v>#N/A</v>
      </c>
      <c r="I108" s="4" t="s">
        <v>52</v>
      </c>
      <c r="J108" s="33" t="e">
        <f t="shared" si="73"/>
        <v>#N/A</v>
      </c>
      <c r="K108" s="34" t="e">
        <f>VLOOKUP($A108,'Espesor E5'!$A$9:$J$58,10,FALSE)</f>
        <v>#N/A</v>
      </c>
      <c r="L108" s="34">
        <v>0.05</v>
      </c>
      <c r="M108" s="33" t="e">
        <f t="shared" si="74"/>
        <v>#N/A</v>
      </c>
      <c r="N108" s="33" t="e">
        <f t="shared" si="75"/>
        <v>#N/A</v>
      </c>
      <c r="O108" s="33" t="e">
        <f t="shared" si="76"/>
        <v>#N/A</v>
      </c>
      <c r="P108" s="33" t="e">
        <f t="shared" si="77"/>
        <v>#N/A</v>
      </c>
      <c r="Q108" s="33" t="e">
        <f t="shared" si="78"/>
        <v>#N/A</v>
      </c>
      <c r="R108" s="33" t="e">
        <f t="shared" si="79"/>
        <v>#N/A</v>
      </c>
      <c r="S108" s="35" t="e">
        <f t="shared" si="80"/>
        <v>#N/A</v>
      </c>
      <c r="T108" s="36">
        <f t="shared" si="81"/>
        <v>857500</v>
      </c>
      <c r="U108" s="36">
        <f t="shared" si="82"/>
        <v>857500</v>
      </c>
      <c r="V108" s="33" t="e">
        <f t="shared" si="83"/>
        <v>#N/A</v>
      </c>
      <c r="W108" s="33" t="e">
        <f t="shared" si="84"/>
        <v>#N/A</v>
      </c>
      <c r="X108" s="50" t="e">
        <f t="shared" si="85"/>
        <v>#N/A</v>
      </c>
      <c r="Y108" s="50" t="e">
        <f t="shared" si="86"/>
        <v>#N/A</v>
      </c>
      <c r="Z108" s="36" t="e">
        <f t="shared" si="87"/>
        <v>#N/A</v>
      </c>
      <c r="AA108" s="15" t="e">
        <f t="shared" si="88"/>
        <v>#N/A</v>
      </c>
      <c r="AB108" s="33" t="e">
        <f t="shared" si="89"/>
        <v>#N/A</v>
      </c>
    </row>
    <row r="109" spans="1:28" ht="13.5" x14ac:dyDescent="0.25">
      <c r="A109" s="160" t="str">
        <f t="array" ref="A109">IFERROR(INDEX('Espesor E5'!A22:A71, SMALL(IF('Espesor E5'!J22:J71&gt;=0.2, ROW('Espesor E5'!J22:J71)-ROW('Espesor E5'!A22)+1), ROW(14:14))), "N/A")</f>
        <v>N/A</v>
      </c>
      <c r="B109" s="72" t="e">
        <f>VLOOKUP($A109,'Espesor E5'!$A$9:$J$58,2,FALSE)</f>
        <v>#N/A</v>
      </c>
      <c r="C109" s="72" t="e">
        <f>VLOOKUP($A109,'Espesor E5'!$A$9:$J$58,3,FALSE)</f>
        <v>#N/A</v>
      </c>
      <c r="D109" s="32" t="e">
        <f>VLOOKUP($A109,'Espesor E5'!$A$9:$J$58,4,FALSE)</f>
        <v>#N/A</v>
      </c>
      <c r="E109" s="32" t="e">
        <f>VLOOKUP($A109,'Espesor E5'!$A$9:$J$58,5,FALSE)</f>
        <v>#N/A</v>
      </c>
      <c r="F109" s="32" t="e">
        <f>VLOOKUP($A109,'Espesor E5'!$A$9:$J$58,6,FALSE)</f>
        <v>#N/A</v>
      </c>
      <c r="G109" s="32" t="e">
        <f>VLOOKUP($A109,'Espesor E5'!$A$9:$J$58,7,FALSE)</f>
        <v>#N/A</v>
      </c>
      <c r="H109" s="32" t="e">
        <f t="shared" si="72"/>
        <v>#N/A</v>
      </c>
      <c r="I109" s="4" t="s">
        <v>52</v>
      </c>
      <c r="J109" s="33" t="e">
        <f t="shared" si="73"/>
        <v>#N/A</v>
      </c>
      <c r="K109" s="34" t="e">
        <f>VLOOKUP($A109,'Espesor E5'!$A$9:$J$58,10,FALSE)</f>
        <v>#N/A</v>
      </c>
      <c r="L109" s="34">
        <v>0.05</v>
      </c>
      <c r="M109" s="33" t="e">
        <f t="shared" si="74"/>
        <v>#N/A</v>
      </c>
      <c r="N109" s="33" t="e">
        <f t="shared" si="75"/>
        <v>#N/A</v>
      </c>
      <c r="O109" s="33" t="e">
        <f t="shared" si="76"/>
        <v>#N/A</v>
      </c>
      <c r="P109" s="33" t="e">
        <f t="shared" si="77"/>
        <v>#N/A</v>
      </c>
      <c r="Q109" s="33" t="e">
        <f t="shared" si="78"/>
        <v>#N/A</v>
      </c>
      <c r="R109" s="33" t="e">
        <f t="shared" si="79"/>
        <v>#N/A</v>
      </c>
      <c r="S109" s="35" t="e">
        <f t="shared" si="80"/>
        <v>#N/A</v>
      </c>
      <c r="T109" s="36">
        <f t="shared" si="81"/>
        <v>857500</v>
      </c>
      <c r="U109" s="36">
        <f t="shared" si="82"/>
        <v>857500</v>
      </c>
      <c r="V109" s="33" t="e">
        <f t="shared" si="83"/>
        <v>#N/A</v>
      </c>
      <c r="W109" s="33" t="e">
        <f t="shared" si="84"/>
        <v>#N/A</v>
      </c>
      <c r="X109" s="50" t="e">
        <f t="shared" si="85"/>
        <v>#N/A</v>
      </c>
      <c r="Y109" s="50" t="e">
        <f t="shared" si="86"/>
        <v>#N/A</v>
      </c>
      <c r="Z109" s="36" t="e">
        <f t="shared" si="87"/>
        <v>#N/A</v>
      </c>
      <c r="AA109" s="15" t="e">
        <f t="shared" si="88"/>
        <v>#N/A</v>
      </c>
      <c r="AB109" s="33" t="e">
        <f t="shared" si="89"/>
        <v>#N/A</v>
      </c>
    </row>
    <row r="110" spans="1:28" ht="13.5" x14ac:dyDescent="0.25">
      <c r="A110" s="160" t="str">
        <f t="array" ref="A110">IFERROR(INDEX('Espesor E5'!A23:A72, SMALL(IF('Espesor E5'!J23:J72&gt;=0.2, ROW('Espesor E5'!J23:J72)-ROW('Espesor E5'!A23)+1), ROW(15:15))), "N/A")</f>
        <v>N/A</v>
      </c>
      <c r="B110" s="72" t="e">
        <f>VLOOKUP($A110,'Espesor E5'!$A$9:$J$58,2,FALSE)</f>
        <v>#N/A</v>
      </c>
      <c r="C110" s="72" t="e">
        <f>VLOOKUP($A110,'Espesor E5'!$A$9:$J$58,3,FALSE)</f>
        <v>#N/A</v>
      </c>
      <c r="D110" s="32" t="e">
        <f>VLOOKUP($A110,'Espesor E5'!$A$9:$J$58,4,FALSE)</f>
        <v>#N/A</v>
      </c>
      <c r="E110" s="32" t="e">
        <f>VLOOKUP($A110,'Espesor E5'!$A$9:$J$58,5,FALSE)</f>
        <v>#N/A</v>
      </c>
      <c r="F110" s="32" t="e">
        <f>VLOOKUP($A110,'Espesor E5'!$A$9:$J$58,6,FALSE)</f>
        <v>#N/A</v>
      </c>
      <c r="G110" s="32" t="e">
        <f>VLOOKUP($A110,'Espesor E5'!$A$9:$J$58,7,FALSE)</f>
        <v>#N/A</v>
      </c>
      <c r="H110" s="32" t="e">
        <f t="shared" si="72"/>
        <v>#N/A</v>
      </c>
      <c r="I110" s="4" t="s">
        <v>52</v>
      </c>
      <c r="J110" s="33" t="e">
        <f t="shared" si="73"/>
        <v>#N/A</v>
      </c>
      <c r="K110" s="34" t="e">
        <f>VLOOKUP($A110,'Espesor E5'!$A$9:$J$58,10,FALSE)</f>
        <v>#N/A</v>
      </c>
      <c r="L110" s="34">
        <v>0.05</v>
      </c>
      <c r="M110" s="33" t="e">
        <f t="shared" si="74"/>
        <v>#N/A</v>
      </c>
      <c r="N110" s="33" t="e">
        <f t="shared" si="75"/>
        <v>#N/A</v>
      </c>
      <c r="O110" s="33" t="e">
        <f t="shared" si="76"/>
        <v>#N/A</v>
      </c>
      <c r="P110" s="33" t="e">
        <f t="shared" si="77"/>
        <v>#N/A</v>
      </c>
      <c r="Q110" s="33" t="e">
        <f t="shared" si="78"/>
        <v>#N/A</v>
      </c>
      <c r="R110" s="33" t="e">
        <f t="shared" si="79"/>
        <v>#N/A</v>
      </c>
      <c r="S110" s="35" t="e">
        <f t="shared" si="80"/>
        <v>#N/A</v>
      </c>
      <c r="T110" s="36">
        <f t="shared" si="81"/>
        <v>857500</v>
      </c>
      <c r="U110" s="36">
        <f t="shared" si="82"/>
        <v>857500</v>
      </c>
      <c r="V110" s="33" t="e">
        <f t="shared" si="83"/>
        <v>#N/A</v>
      </c>
      <c r="W110" s="33" t="e">
        <f t="shared" si="84"/>
        <v>#N/A</v>
      </c>
      <c r="X110" s="50" t="e">
        <f t="shared" si="85"/>
        <v>#N/A</v>
      </c>
      <c r="Y110" s="50" t="e">
        <f t="shared" si="86"/>
        <v>#N/A</v>
      </c>
      <c r="Z110" s="36" t="e">
        <f t="shared" si="87"/>
        <v>#N/A</v>
      </c>
      <c r="AA110" s="15" t="e">
        <f t="shared" si="88"/>
        <v>#N/A</v>
      </c>
      <c r="AB110" s="33" t="e">
        <f t="shared" si="89"/>
        <v>#N/A</v>
      </c>
    </row>
    <row r="111" spans="1:28" ht="13.5" x14ac:dyDescent="0.25">
      <c r="A111" s="160" t="str">
        <f t="array" ref="A111">IFERROR(INDEX('Espesor E5'!A24:A73, SMALL(IF('Espesor E5'!J24:J73&gt;=0.2, ROW('Espesor E5'!J24:J73)-ROW('Espesor E5'!A24)+1), ROW(16:16))), "N/A")</f>
        <v>N/A</v>
      </c>
      <c r="B111" s="72" t="e">
        <f>VLOOKUP($A111,'Espesor E5'!$A$9:$J$58,2,FALSE)</f>
        <v>#N/A</v>
      </c>
      <c r="C111" s="72" t="e">
        <f>VLOOKUP($A111,'Espesor E5'!$A$9:$J$58,3,FALSE)</f>
        <v>#N/A</v>
      </c>
      <c r="D111" s="32" t="e">
        <f>VLOOKUP($A111,'Espesor E5'!$A$9:$J$58,4,FALSE)</f>
        <v>#N/A</v>
      </c>
      <c r="E111" s="32" t="e">
        <f>VLOOKUP($A111,'Espesor E5'!$A$9:$J$58,5,FALSE)</f>
        <v>#N/A</v>
      </c>
      <c r="F111" s="32" t="e">
        <f>VLOOKUP($A111,'Espesor E5'!$A$9:$J$58,6,FALSE)</f>
        <v>#N/A</v>
      </c>
      <c r="G111" s="32" t="e">
        <f>VLOOKUP($A111,'Espesor E5'!$A$9:$J$58,7,FALSE)</f>
        <v>#N/A</v>
      </c>
      <c r="H111" s="32" t="e">
        <f t="shared" si="72"/>
        <v>#N/A</v>
      </c>
      <c r="I111" s="4" t="s">
        <v>52</v>
      </c>
      <c r="J111" s="33" t="e">
        <f t="shared" si="73"/>
        <v>#N/A</v>
      </c>
      <c r="K111" s="34" t="e">
        <f>VLOOKUP($A111,'Espesor E5'!$A$9:$J$58,10,FALSE)</f>
        <v>#N/A</v>
      </c>
      <c r="L111" s="34">
        <v>0.05</v>
      </c>
      <c r="M111" s="33" t="e">
        <f t="shared" si="74"/>
        <v>#N/A</v>
      </c>
      <c r="N111" s="33" t="e">
        <f t="shared" si="75"/>
        <v>#N/A</v>
      </c>
      <c r="O111" s="33" t="e">
        <f t="shared" si="76"/>
        <v>#N/A</v>
      </c>
      <c r="P111" s="33" t="e">
        <f t="shared" si="77"/>
        <v>#N/A</v>
      </c>
      <c r="Q111" s="33" t="e">
        <f t="shared" si="78"/>
        <v>#N/A</v>
      </c>
      <c r="R111" s="33" t="e">
        <f t="shared" si="79"/>
        <v>#N/A</v>
      </c>
      <c r="S111" s="35" t="e">
        <f t="shared" si="80"/>
        <v>#N/A</v>
      </c>
      <c r="T111" s="36">
        <f t="shared" si="81"/>
        <v>857500</v>
      </c>
      <c r="U111" s="36">
        <f t="shared" si="82"/>
        <v>857500</v>
      </c>
      <c r="V111" s="33" t="e">
        <f t="shared" si="83"/>
        <v>#N/A</v>
      </c>
      <c r="W111" s="33" t="e">
        <f t="shared" si="84"/>
        <v>#N/A</v>
      </c>
      <c r="X111" s="50" t="e">
        <f t="shared" si="85"/>
        <v>#N/A</v>
      </c>
      <c r="Y111" s="50" t="e">
        <f t="shared" si="86"/>
        <v>#N/A</v>
      </c>
      <c r="Z111" s="36" t="e">
        <f t="shared" si="87"/>
        <v>#N/A</v>
      </c>
      <c r="AA111" s="15" t="e">
        <f t="shared" si="88"/>
        <v>#N/A</v>
      </c>
      <c r="AB111" s="33" t="e">
        <f t="shared" si="89"/>
        <v>#N/A</v>
      </c>
    </row>
    <row r="112" spans="1:28" ht="13.5" x14ac:dyDescent="0.25">
      <c r="A112" s="160" t="str">
        <f t="array" ref="A112">IFERROR(INDEX('Espesor E5'!A25:A74, SMALL(IF('Espesor E5'!J25:J74&gt;=0.2, ROW('Espesor E5'!J25:J74)-ROW('Espesor E5'!A25)+1), ROW(17:17))), "N/A")</f>
        <v>N/A</v>
      </c>
      <c r="B112" s="72" t="e">
        <f>VLOOKUP($A112,'Espesor E5'!$A$9:$J$58,2,FALSE)</f>
        <v>#N/A</v>
      </c>
      <c r="C112" s="72" t="e">
        <f>VLOOKUP($A112,'Espesor E5'!$A$9:$J$58,3,FALSE)</f>
        <v>#N/A</v>
      </c>
      <c r="D112" s="32" t="e">
        <f>VLOOKUP($A112,'Espesor E5'!$A$9:$J$58,4,FALSE)</f>
        <v>#N/A</v>
      </c>
      <c r="E112" s="32" t="e">
        <f>VLOOKUP($A112,'Espesor E5'!$A$9:$J$58,5,FALSE)</f>
        <v>#N/A</v>
      </c>
      <c r="F112" s="32" t="e">
        <f>VLOOKUP($A112,'Espesor E5'!$A$9:$J$58,6,FALSE)</f>
        <v>#N/A</v>
      </c>
      <c r="G112" s="32" t="e">
        <f>VLOOKUP($A112,'Espesor E5'!$A$9:$J$58,7,FALSE)</f>
        <v>#N/A</v>
      </c>
      <c r="H112" s="32" t="e">
        <f t="shared" si="72"/>
        <v>#N/A</v>
      </c>
      <c r="I112" s="4" t="s">
        <v>52</v>
      </c>
      <c r="J112" s="33" t="e">
        <f t="shared" si="73"/>
        <v>#N/A</v>
      </c>
      <c r="K112" s="34" t="e">
        <f>VLOOKUP($A112,'Espesor E5'!$A$9:$J$58,10,FALSE)</f>
        <v>#N/A</v>
      </c>
      <c r="L112" s="34">
        <v>0.05</v>
      </c>
      <c r="M112" s="33" t="e">
        <f t="shared" si="74"/>
        <v>#N/A</v>
      </c>
      <c r="N112" s="33" t="e">
        <f t="shared" si="75"/>
        <v>#N/A</v>
      </c>
      <c r="O112" s="33" t="e">
        <f t="shared" si="76"/>
        <v>#N/A</v>
      </c>
      <c r="P112" s="33" t="e">
        <f t="shared" si="77"/>
        <v>#N/A</v>
      </c>
      <c r="Q112" s="33" t="e">
        <f t="shared" si="78"/>
        <v>#N/A</v>
      </c>
      <c r="R112" s="33" t="e">
        <f t="shared" si="79"/>
        <v>#N/A</v>
      </c>
      <c r="S112" s="35" t="e">
        <f t="shared" si="80"/>
        <v>#N/A</v>
      </c>
      <c r="T112" s="36">
        <f t="shared" si="81"/>
        <v>857500</v>
      </c>
      <c r="U112" s="36">
        <f t="shared" si="82"/>
        <v>857500</v>
      </c>
      <c r="V112" s="33" t="e">
        <f t="shared" si="83"/>
        <v>#N/A</v>
      </c>
      <c r="W112" s="33" t="e">
        <f t="shared" si="84"/>
        <v>#N/A</v>
      </c>
      <c r="X112" s="50" t="e">
        <f t="shared" si="85"/>
        <v>#N/A</v>
      </c>
      <c r="Y112" s="50" t="e">
        <f t="shared" si="86"/>
        <v>#N/A</v>
      </c>
      <c r="Z112" s="36" t="e">
        <f t="shared" si="87"/>
        <v>#N/A</v>
      </c>
      <c r="AA112" s="15" t="e">
        <f t="shared" si="88"/>
        <v>#N/A</v>
      </c>
      <c r="AB112" s="33" t="e">
        <f t="shared" si="89"/>
        <v>#N/A</v>
      </c>
    </row>
    <row r="113" spans="1:28" ht="13.5" x14ac:dyDescent="0.25">
      <c r="A113" s="160" t="str">
        <f t="array" ref="A113">IFERROR(INDEX('Espesor E5'!A26:A75, SMALL(IF('Espesor E5'!J26:J75&gt;=0.2, ROW('Espesor E5'!J26:J75)-ROW('Espesor E5'!A26)+1), ROW(18:18))), "N/A")</f>
        <v>N/A</v>
      </c>
      <c r="B113" s="72" t="e">
        <f>VLOOKUP($A113,'Espesor E5'!$A$9:$J$58,2,FALSE)</f>
        <v>#N/A</v>
      </c>
      <c r="C113" s="72" t="e">
        <f>VLOOKUP($A113,'Espesor E5'!$A$9:$J$58,3,FALSE)</f>
        <v>#N/A</v>
      </c>
      <c r="D113" s="32" t="e">
        <f>VLOOKUP($A113,'Espesor E5'!$A$9:$J$58,4,FALSE)</f>
        <v>#N/A</v>
      </c>
      <c r="E113" s="32" t="e">
        <f>VLOOKUP($A113,'Espesor E5'!$A$9:$J$58,5,FALSE)</f>
        <v>#N/A</v>
      </c>
      <c r="F113" s="32" t="e">
        <f>VLOOKUP($A113,'Espesor E5'!$A$9:$J$58,6,FALSE)</f>
        <v>#N/A</v>
      </c>
      <c r="G113" s="32" t="e">
        <f>VLOOKUP($A113,'Espesor E5'!$A$9:$J$58,7,FALSE)</f>
        <v>#N/A</v>
      </c>
      <c r="H113" s="32" t="e">
        <f t="shared" si="72"/>
        <v>#N/A</v>
      </c>
      <c r="I113" s="4" t="s">
        <v>52</v>
      </c>
      <c r="J113" s="33" t="e">
        <f t="shared" si="73"/>
        <v>#N/A</v>
      </c>
      <c r="K113" s="34" t="e">
        <f>VLOOKUP($A113,'Espesor E5'!$A$9:$J$58,10,FALSE)</f>
        <v>#N/A</v>
      </c>
      <c r="L113" s="34">
        <v>0.05</v>
      </c>
      <c r="M113" s="33" t="e">
        <f t="shared" si="74"/>
        <v>#N/A</v>
      </c>
      <c r="N113" s="33" t="e">
        <f t="shared" si="75"/>
        <v>#N/A</v>
      </c>
      <c r="O113" s="33" t="e">
        <f t="shared" si="76"/>
        <v>#N/A</v>
      </c>
      <c r="P113" s="33" t="e">
        <f t="shared" si="77"/>
        <v>#N/A</v>
      </c>
      <c r="Q113" s="33" t="e">
        <f t="shared" si="78"/>
        <v>#N/A</v>
      </c>
      <c r="R113" s="33" t="e">
        <f t="shared" si="79"/>
        <v>#N/A</v>
      </c>
      <c r="S113" s="35" t="e">
        <f t="shared" si="80"/>
        <v>#N/A</v>
      </c>
      <c r="T113" s="36">
        <f t="shared" si="81"/>
        <v>857500</v>
      </c>
      <c r="U113" s="36">
        <f t="shared" si="82"/>
        <v>857500</v>
      </c>
      <c r="V113" s="33" t="e">
        <f t="shared" si="83"/>
        <v>#N/A</v>
      </c>
      <c r="W113" s="33" t="e">
        <f t="shared" si="84"/>
        <v>#N/A</v>
      </c>
      <c r="X113" s="50" t="e">
        <f t="shared" si="85"/>
        <v>#N/A</v>
      </c>
      <c r="Y113" s="50" t="e">
        <f t="shared" si="86"/>
        <v>#N/A</v>
      </c>
      <c r="Z113" s="36" t="e">
        <f t="shared" si="87"/>
        <v>#N/A</v>
      </c>
      <c r="AA113" s="15" t="e">
        <f t="shared" si="88"/>
        <v>#N/A</v>
      </c>
      <c r="AB113" s="33" t="e">
        <f t="shared" si="89"/>
        <v>#N/A</v>
      </c>
    </row>
    <row r="114" spans="1:28" ht="13.5" x14ac:dyDescent="0.25">
      <c r="A114" s="160" t="str">
        <f t="array" ref="A114">IFERROR(INDEX('Espesor E5'!A27:A76, SMALL(IF('Espesor E5'!J27:J76&gt;=0.2, ROW('Espesor E5'!J27:J76)-ROW('Espesor E5'!A27)+1), ROW(19:19))), "N/A")</f>
        <v>N/A</v>
      </c>
      <c r="B114" s="72" t="e">
        <f>VLOOKUP($A114,'Espesor E5'!$A$9:$J$58,2,FALSE)</f>
        <v>#N/A</v>
      </c>
      <c r="C114" s="72" t="e">
        <f>VLOOKUP($A114,'Espesor E5'!$A$9:$J$58,3,FALSE)</f>
        <v>#N/A</v>
      </c>
      <c r="D114" s="32" t="e">
        <f>VLOOKUP($A114,'Espesor E5'!$A$9:$J$58,4,FALSE)</f>
        <v>#N/A</v>
      </c>
      <c r="E114" s="32" t="e">
        <f>VLOOKUP($A114,'Espesor E5'!$A$9:$J$58,5,FALSE)</f>
        <v>#N/A</v>
      </c>
      <c r="F114" s="32" t="e">
        <f>VLOOKUP($A114,'Espesor E5'!$A$9:$J$58,6,FALSE)</f>
        <v>#N/A</v>
      </c>
      <c r="G114" s="32" t="e">
        <f>VLOOKUP($A114,'Espesor E5'!$A$9:$J$58,7,FALSE)</f>
        <v>#N/A</v>
      </c>
      <c r="H114" s="32" t="e">
        <f t="shared" si="72"/>
        <v>#N/A</v>
      </c>
      <c r="I114" s="4" t="s">
        <v>52</v>
      </c>
      <c r="J114" s="33" t="e">
        <f t="shared" si="73"/>
        <v>#N/A</v>
      </c>
      <c r="K114" s="34" t="e">
        <f>VLOOKUP($A114,'Espesor E5'!$A$9:$J$58,10,FALSE)</f>
        <v>#N/A</v>
      </c>
      <c r="L114" s="34">
        <v>0.05</v>
      </c>
      <c r="M114" s="33" t="e">
        <f t="shared" si="74"/>
        <v>#N/A</v>
      </c>
      <c r="N114" s="33" t="e">
        <f t="shared" si="75"/>
        <v>#N/A</v>
      </c>
      <c r="O114" s="33" t="e">
        <f t="shared" si="76"/>
        <v>#N/A</v>
      </c>
      <c r="P114" s="33" t="e">
        <f t="shared" si="77"/>
        <v>#N/A</v>
      </c>
      <c r="Q114" s="33" t="e">
        <f t="shared" si="78"/>
        <v>#N/A</v>
      </c>
      <c r="R114" s="33" t="e">
        <f t="shared" si="79"/>
        <v>#N/A</v>
      </c>
      <c r="S114" s="35" t="e">
        <f t="shared" si="80"/>
        <v>#N/A</v>
      </c>
      <c r="T114" s="36">
        <f t="shared" si="81"/>
        <v>857500</v>
      </c>
      <c r="U114" s="36">
        <f t="shared" si="82"/>
        <v>857500</v>
      </c>
      <c r="V114" s="33" t="e">
        <f t="shared" si="83"/>
        <v>#N/A</v>
      </c>
      <c r="W114" s="33" t="e">
        <f t="shared" si="84"/>
        <v>#N/A</v>
      </c>
      <c r="X114" s="50" t="e">
        <f t="shared" si="85"/>
        <v>#N/A</v>
      </c>
      <c r="Y114" s="50" t="e">
        <f t="shared" si="86"/>
        <v>#N/A</v>
      </c>
      <c r="Z114" s="36" t="e">
        <f t="shared" si="87"/>
        <v>#N/A</v>
      </c>
      <c r="AA114" s="15" t="e">
        <f t="shared" si="88"/>
        <v>#N/A</v>
      </c>
      <c r="AB114" s="33" t="e">
        <f t="shared" si="89"/>
        <v>#N/A</v>
      </c>
    </row>
    <row r="115" spans="1:28" ht="13.5" x14ac:dyDescent="0.25">
      <c r="A115" s="160" t="str">
        <f t="array" ref="A115">IFERROR(INDEX('Espesor E5'!A28:A77, SMALL(IF('Espesor E5'!J28:J77&gt;=0.2, ROW('Espesor E5'!J28:J77)-ROW('Espesor E5'!A28)+1), ROW(20:20))), "N/A")</f>
        <v>N/A</v>
      </c>
      <c r="B115" s="72" t="e">
        <f>VLOOKUP($A115,'Espesor E5'!$A$9:$J$58,2,FALSE)</f>
        <v>#N/A</v>
      </c>
      <c r="C115" s="72" t="e">
        <f>VLOOKUP($A115,'Espesor E5'!$A$9:$J$58,3,FALSE)</f>
        <v>#N/A</v>
      </c>
      <c r="D115" s="32" t="e">
        <f>VLOOKUP($A115,'Espesor E5'!$A$9:$J$58,4,FALSE)</f>
        <v>#N/A</v>
      </c>
      <c r="E115" s="32" t="e">
        <f>VLOOKUP($A115,'Espesor E5'!$A$9:$J$58,5,FALSE)</f>
        <v>#N/A</v>
      </c>
      <c r="F115" s="32" t="e">
        <f>VLOOKUP($A115,'Espesor E5'!$A$9:$J$58,6,FALSE)</f>
        <v>#N/A</v>
      </c>
      <c r="G115" s="32" t="e">
        <f>VLOOKUP($A115,'Espesor E5'!$A$9:$J$58,7,FALSE)</f>
        <v>#N/A</v>
      </c>
      <c r="H115" s="32" t="e">
        <f t="shared" si="72"/>
        <v>#N/A</v>
      </c>
      <c r="I115" s="4" t="s">
        <v>52</v>
      </c>
      <c r="J115" s="33" t="e">
        <f t="shared" si="73"/>
        <v>#N/A</v>
      </c>
      <c r="K115" s="34" t="e">
        <f>VLOOKUP($A115,'Espesor E5'!$A$9:$J$58,10,FALSE)</f>
        <v>#N/A</v>
      </c>
      <c r="L115" s="34">
        <v>0.05</v>
      </c>
      <c r="M115" s="33" t="e">
        <f t="shared" si="74"/>
        <v>#N/A</v>
      </c>
      <c r="N115" s="33" t="e">
        <f t="shared" si="75"/>
        <v>#N/A</v>
      </c>
      <c r="O115" s="33" t="e">
        <f t="shared" si="76"/>
        <v>#N/A</v>
      </c>
      <c r="P115" s="33" t="e">
        <f t="shared" si="77"/>
        <v>#N/A</v>
      </c>
      <c r="Q115" s="33" t="e">
        <f t="shared" si="78"/>
        <v>#N/A</v>
      </c>
      <c r="R115" s="33" t="e">
        <f t="shared" si="79"/>
        <v>#N/A</v>
      </c>
      <c r="S115" s="35" t="e">
        <f t="shared" si="80"/>
        <v>#N/A</v>
      </c>
      <c r="T115" s="36">
        <f t="shared" si="81"/>
        <v>857500</v>
      </c>
      <c r="U115" s="36">
        <f t="shared" si="82"/>
        <v>857500</v>
      </c>
      <c r="V115" s="33" t="e">
        <f t="shared" si="83"/>
        <v>#N/A</v>
      </c>
      <c r="W115" s="33" t="e">
        <f t="shared" si="84"/>
        <v>#N/A</v>
      </c>
      <c r="X115" s="50" t="e">
        <f t="shared" si="85"/>
        <v>#N/A</v>
      </c>
      <c r="Y115" s="50" t="e">
        <f t="shared" si="86"/>
        <v>#N/A</v>
      </c>
      <c r="Z115" s="36" t="e">
        <f t="shared" si="87"/>
        <v>#N/A</v>
      </c>
      <c r="AA115" s="15" t="e">
        <f t="shared" si="88"/>
        <v>#N/A</v>
      </c>
      <c r="AB115" s="33" t="e">
        <f t="shared" si="89"/>
        <v>#N/A</v>
      </c>
    </row>
    <row r="116" spans="1:28" x14ac:dyDescent="0.2">
      <c r="A116" s="165" t="str">
        <f ca="1">REPT('Espesor Techo'!AC2,40)</f>
        <v xml:space="preserve">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 Techo /</v>
      </c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</row>
    <row r="117" spans="1:28" ht="13.5" x14ac:dyDescent="0.25">
      <c r="A117" s="160" t="str">
        <f t="array" ref="A117">IFERROR(INDEX('Espesor Techo'!A9:A58, SMALL(IF('Espesor Techo'!J9:J58&gt;=0.2, ROW('Espesor E2'!J9:J58)-ROW('Espesor Techo'!A9)+1), ROW(1:1))), "N/A")</f>
        <v>N/A</v>
      </c>
      <c r="B117" s="72" t="e">
        <f>VLOOKUP($A117,'Espesor Techo'!$A$9:$J$58,2,FALSE)</f>
        <v>#N/A</v>
      </c>
      <c r="C117" s="72" t="e">
        <f>VLOOKUP($A117,'Espesor Techo'!$A$9:$J$58,3,FALSE)</f>
        <v>#N/A</v>
      </c>
      <c r="D117" s="32" t="e">
        <f>VLOOKUP($A117,'Espesor Techo'!$A$9:$J$58,4,FALSE)</f>
        <v>#N/A</v>
      </c>
      <c r="E117" s="32" t="e">
        <f>VLOOKUP($A117,'Espesor Techo'!$A$9:$J$58,5,FALSE)</f>
        <v>#N/A</v>
      </c>
      <c r="F117" s="32" t="e">
        <f>VLOOKUP($A117,'Espesor Techo'!$A$9:$J$58,6,FALSE)</f>
        <v>#N/A</v>
      </c>
      <c r="G117" s="32" t="e">
        <f>VLOOKUP($A117,'Espesor Techo'!$A$9:$J$58,7,FALSE)</f>
        <v>#N/A</v>
      </c>
      <c r="H117" s="32" t="e">
        <f>IF(D117="2D",(F117*(0.8+($C$8/14000)))/(36+9*G117),F117/E117)</f>
        <v>#N/A</v>
      </c>
      <c r="I117" s="4" t="s">
        <v>52</v>
      </c>
      <c r="J117" s="33" t="e">
        <f>MAX(0.12,H117)</f>
        <v>#N/A</v>
      </c>
      <c r="K117" s="34" t="e">
        <f>VLOOKUP($A117,'Espesor Techo'!$A$9:$J$58,10,FALSE)</f>
        <v>#N/A</v>
      </c>
      <c r="L117" s="34">
        <v>0.05</v>
      </c>
      <c r="M117" s="33" t="e">
        <f>IF(D117="2D",IF(B117&lt;C117,INT(B117/($N$3+$N$5)),INT(B117/($N$3+$N$4))),IF(B117&gt;C117,INT(B117/($L$3+$L$4)),INT(B117/$L$5)))</f>
        <v>#N/A</v>
      </c>
      <c r="N117" s="33" t="e">
        <f>IF(D117="2D",IF(C117&lt;B117,INT(C117/($N$3+$N$5)),INT(C117/($N$3+$N$4))),IF(C117&gt;B117,INT(C117/($L$3+$L$4)),INT(C117/$L$5)))</f>
        <v>#N/A</v>
      </c>
      <c r="O117" s="33" t="e">
        <f>M117*N117</f>
        <v>#N/A</v>
      </c>
      <c r="P117" s="33" t="e">
        <f>O117*(IF(D117="1D",($L$4*$L$5),($N$4*$N$5)))*(K117-L117)</f>
        <v>#N/A</v>
      </c>
      <c r="Q117" s="33" t="e">
        <f>K117*B117*C117</f>
        <v>#N/A</v>
      </c>
      <c r="R117" s="33" t="e">
        <f>Q117-P117</f>
        <v>#N/A</v>
      </c>
      <c r="S117" s="35" t="e">
        <f>R117/(B117*C117)</f>
        <v>#N/A</v>
      </c>
      <c r="T117" s="36">
        <f>$T$7*$T$8*$T$8*$T$8/12</f>
        <v>857500</v>
      </c>
      <c r="U117" s="36">
        <f>T117</f>
        <v>857500</v>
      </c>
      <c r="V117" s="33" t="e">
        <f>(C117*100/2)*(J117*J117*J117*1000000)/12</f>
        <v>#N/A</v>
      </c>
      <c r="W117" s="33" t="e">
        <f>(B117*100/2)*(J117*J117*J117*1000000)/12</f>
        <v>#N/A</v>
      </c>
      <c r="X117" s="50" t="e">
        <f>T117/V117</f>
        <v>#N/A</v>
      </c>
      <c r="Y117" s="50" t="e">
        <f>U117/W117</f>
        <v>#N/A</v>
      </c>
      <c r="Z117" s="36" t="e">
        <f>(X117*2+Y117*2)/4</f>
        <v>#N/A</v>
      </c>
      <c r="AA117" s="15" t="e">
        <f>IF(Z117&gt;2,"OK","CHK")</f>
        <v>#N/A</v>
      </c>
      <c r="AB117" s="33" t="e">
        <f>(F117*(0.8+($C$9/14000)))/(36+5*G117*(0.2-0.12))</f>
        <v>#N/A</v>
      </c>
    </row>
    <row r="118" spans="1:28" ht="13.5" x14ac:dyDescent="0.25">
      <c r="A118" s="160" t="str">
        <f t="array" ref="A118">IFERROR(INDEX('Espesor Techo'!A10:A59, SMALL(IF('Espesor Techo'!J10:J59&gt;=0.2, ROW('Espesor E2'!J10:J59)-ROW('Espesor Techo'!A10)+1), ROW(2:2))), "N/A")</f>
        <v>N/A</v>
      </c>
      <c r="B118" s="72" t="e">
        <f>VLOOKUP($A118,'Espesor Techo'!$A$9:$J$58,2,FALSE)</f>
        <v>#N/A</v>
      </c>
      <c r="C118" s="72" t="e">
        <f>VLOOKUP($A118,'Espesor Techo'!$A$9:$J$58,3,FALSE)</f>
        <v>#N/A</v>
      </c>
      <c r="D118" s="32" t="e">
        <f>VLOOKUP($A118,'Espesor Techo'!$A$9:$J$58,4,FALSE)</f>
        <v>#N/A</v>
      </c>
      <c r="E118" s="32" t="e">
        <f>VLOOKUP($A118,'Espesor Techo'!$A$9:$J$58,5,FALSE)</f>
        <v>#N/A</v>
      </c>
      <c r="F118" s="32" t="e">
        <f>VLOOKUP($A118,'Espesor Techo'!$A$9:$J$58,6,FALSE)</f>
        <v>#N/A</v>
      </c>
      <c r="G118" s="32" t="e">
        <f>VLOOKUP($A118,'Espesor Techo'!$A$9:$J$58,7,FALSE)</f>
        <v>#N/A</v>
      </c>
      <c r="H118" s="32" t="e">
        <f t="shared" ref="H118:H136" si="90">IF(D118="2D",(F118*(0.8+($C$8/14000)))/(36+9*G118),F118/E118)</f>
        <v>#N/A</v>
      </c>
      <c r="I118" s="4" t="s">
        <v>52</v>
      </c>
      <c r="J118" s="33" t="e">
        <f t="shared" ref="J118:J136" si="91">MAX(0.12,H118)</f>
        <v>#N/A</v>
      </c>
      <c r="K118" s="34" t="e">
        <f>VLOOKUP($A118,'Espesor Techo'!$A$9:$J$58,10,FALSE)</f>
        <v>#N/A</v>
      </c>
      <c r="L118" s="34">
        <v>0.05</v>
      </c>
      <c r="M118" s="33" t="e">
        <f t="shared" ref="M118:M136" si="92">IF(D118="2D",IF(B118&lt;C118,INT(B118/($N$3+$N$5)),INT(B118/($N$3+$N$4))),IF(B118&gt;C118,INT(B118/($L$3+$L$4)),INT(B118/$L$5)))</f>
        <v>#N/A</v>
      </c>
      <c r="N118" s="33" t="e">
        <f t="shared" ref="N118:N136" si="93">IF(D118="2D",IF(C118&lt;B118,INT(C118/($N$3+$N$5)),INT(C118/($N$3+$N$4))),IF(C118&gt;B118,INT(C118/($L$3+$L$4)),INT(C118/$L$5)))</f>
        <v>#N/A</v>
      </c>
      <c r="O118" s="33" t="e">
        <f t="shared" ref="O118:O136" si="94">M118*N118</f>
        <v>#N/A</v>
      </c>
      <c r="P118" s="33" t="e">
        <f t="shared" ref="P118:P136" si="95">O118*(IF(D118="1D",($L$4*$L$5),($N$4*$N$5)))*(K118-L118)</f>
        <v>#N/A</v>
      </c>
      <c r="Q118" s="33" t="e">
        <f t="shared" ref="Q118:Q136" si="96">K118*B118*C118</f>
        <v>#N/A</v>
      </c>
      <c r="R118" s="33" t="e">
        <f t="shared" ref="R118:R136" si="97">Q118-P118</f>
        <v>#N/A</v>
      </c>
      <c r="S118" s="35" t="e">
        <f t="shared" ref="S118:S136" si="98">R118/(B118*C118)</f>
        <v>#N/A</v>
      </c>
      <c r="T118" s="36">
        <f t="shared" ref="T118:T136" si="99">$T$7*$T$8*$T$8*$T$8/12</f>
        <v>857500</v>
      </c>
      <c r="U118" s="36">
        <f t="shared" ref="U118:U136" si="100">T118</f>
        <v>857500</v>
      </c>
      <c r="V118" s="33" t="e">
        <f t="shared" ref="V118:V136" si="101">(C118*100/2)*(J118*J118*J118*1000000)/12</f>
        <v>#N/A</v>
      </c>
      <c r="W118" s="33" t="e">
        <f t="shared" ref="W118:W136" si="102">(B118*100/2)*(J118*J118*J118*1000000)/12</f>
        <v>#N/A</v>
      </c>
      <c r="X118" s="50" t="e">
        <f t="shared" ref="X118:X136" si="103">T118/V118</f>
        <v>#N/A</v>
      </c>
      <c r="Y118" s="50" t="e">
        <f t="shared" ref="Y118:Y136" si="104">U118/W118</f>
        <v>#N/A</v>
      </c>
      <c r="Z118" s="36" t="e">
        <f t="shared" ref="Z118:Z136" si="105">(X118*2+Y118*2)/4</f>
        <v>#N/A</v>
      </c>
      <c r="AA118" s="15" t="e">
        <f t="shared" ref="AA118:AA136" si="106">IF(Z118&gt;2,"OK","CHK")</f>
        <v>#N/A</v>
      </c>
      <c r="AB118" s="33" t="e">
        <f t="shared" ref="AB118:AB136" si="107">(F118*(0.8+($C$9/14000)))/(36+5*G118*(0.2-0.12))</f>
        <v>#N/A</v>
      </c>
    </row>
    <row r="119" spans="1:28" ht="13.5" x14ac:dyDescent="0.25">
      <c r="A119" s="160" t="str">
        <f t="array" ref="A119">IFERROR(INDEX('Espesor Techo'!A11:A60, SMALL(IF('Espesor Techo'!J11:J60&gt;=0.2, ROW('Espesor E2'!J11:J60)-ROW('Espesor Techo'!A11)+1), ROW(3:3))), "N/A")</f>
        <v>N/A</v>
      </c>
      <c r="B119" s="72" t="e">
        <f>VLOOKUP($A119,'Espesor Techo'!$A$9:$J$58,2,FALSE)</f>
        <v>#N/A</v>
      </c>
      <c r="C119" s="72" t="e">
        <f>VLOOKUP($A119,'Espesor Techo'!$A$9:$J$58,3,FALSE)</f>
        <v>#N/A</v>
      </c>
      <c r="D119" s="32" t="e">
        <f>VLOOKUP($A119,'Espesor Techo'!$A$9:$J$58,4,FALSE)</f>
        <v>#N/A</v>
      </c>
      <c r="E119" s="32" t="e">
        <f>VLOOKUP($A119,'Espesor Techo'!$A$9:$J$58,5,FALSE)</f>
        <v>#N/A</v>
      </c>
      <c r="F119" s="32" t="e">
        <f>VLOOKUP($A119,'Espesor Techo'!$A$9:$J$58,6,FALSE)</f>
        <v>#N/A</v>
      </c>
      <c r="G119" s="32" t="e">
        <f>VLOOKUP($A119,'Espesor Techo'!$A$9:$J$58,7,FALSE)</f>
        <v>#N/A</v>
      </c>
      <c r="H119" s="32" t="e">
        <f t="shared" si="90"/>
        <v>#N/A</v>
      </c>
      <c r="I119" s="4" t="s">
        <v>52</v>
      </c>
      <c r="J119" s="33" t="e">
        <f t="shared" si="91"/>
        <v>#N/A</v>
      </c>
      <c r="K119" s="34" t="e">
        <f>VLOOKUP($A119,'Espesor Techo'!$A$9:$J$58,10,FALSE)</f>
        <v>#N/A</v>
      </c>
      <c r="L119" s="34">
        <v>0.05</v>
      </c>
      <c r="M119" s="33" t="e">
        <f t="shared" si="92"/>
        <v>#N/A</v>
      </c>
      <c r="N119" s="33" t="e">
        <f t="shared" si="93"/>
        <v>#N/A</v>
      </c>
      <c r="O119" s="33" t="e">
        <f t="shared" si="94"/>
        <v>#N/A</v>
      </c>
      <c r="P119" s="33" t="e">
        <f t="shared" si="95"/>
        <v>#N/A</v>
      </c>
      <c r="Q119" s="33" t="e">
        <f t="shared" si="96"/>
        <v>#N/A</v>
      </c>
      <c r="R119" s="33" t="e">
        <f t="shared" si="97"/>
        <v>#N/A</v>
      </c>
      <c r="S119" s="35" t="e">
        <f t="shared" si="98"/>
        <v>#N/A</v>
      </c>
      <c r="T119" s="36">
        <f t="shared" si="99"/>
        <v>857500</v>
      </c>
      <c r="U119" s="36">
        <f t="shared" si="100"/>
        <v>857500</v>
      </c>
      <c r="V119" s="33" t="e">
        <f t="shared" si="101"/>
        <v>#N/A</v>
      </c>
      <c r="W119" s="33" t="e">
        <f t="shared" si="102"/>
        <v>#N/A</v>
      </c>
      <c r="X119" s="50" t="e">
        <f t="shared" si="103"/>
        <v>#N/A</v>
      </c>
      <c r="Y119" s="50" t="e">
        <f t="shared" si="104"/>
        <v>#N/A</v>
      </c>
      <c r="Z119" s="36" t="e">
        <f t="shared" si="105"/>
        <v>#N/A</v>
      </c>
      <c r="AA119" s="15" t="e">
        <f t="shared" si="106"/>
        <v>#N/A</v>
      </c>
      <c r="AB119" s="33" t="e">
        <f t="shared" si="107"/>
        <v>#N/A</v>
      </c>
    </row>
    <row r="120" spans="1:28" ht="13.5" x14ac:dyDescent="0.25">
      <c r="A120" s="160" t="str">
        <f t="array" ref="A120">IFERROR(INDEX('Espesor Techo'!A12:A61, SMALL(IF('Espesor Techo'!J12:J61&gt;=0.2, ROW('Espesor E2'!J12:J61)-ROW('Espesor Techo'!A12)+1), ROW(4:4))), "N/A")</f>
        <v>N/A</v>
      </c>
      <c r="B120" s="72" t="e">
        <f>VLOOKUP($A120,'Espesor Techo'!$A$9:$J$58,2,FALSE)</f>
        <v>#N/A</v>
      </c>
      <c r="C120" s="72" t="e">
        <f>VLOOKUP($A120,'Espesor Techo'!$A$9:$J$58,3,FALSE)</f>
        <v>#N/A</v>
      </c>
      <c r="D120" s="32" t="e">
        <f>VLOOKUP($A120,'Espesor Techo'!$A$9:$J$58,4,FALSE)</f>
        <v>#N/A</v>
      </c>
      <c r="E120" s="32" t="e">
        <f>VLOOKUP($A120,'Espesor Techo'!$A$9:$J$58,5,FALSE)</f>
        <v>#N/A</v>
      </c>
      <c r="F120" s="32" t="e">
        <f>VLOOKUP($A120,'Espesor Techo'!$A$9:$J$58,6,FALSE)</f>
        <v>#N/A</v>
      </c>
      <c r="G120" s="32" t="e">
        <f>VLOOKUP($A120,'Espesor Techo'!$A$9:$J$58,7,FALSE)</f>
        <v>#N/A</v>
      </c>
      <c r="H120" s="32" t="e">
        <f t="shared" si="90"/>
        <v>#N/A</v>
      </c>
      <c r="I120" s="4" t="s">
        <v>52</v>
      </c>
      <c r="J120" s="33" t="e">
        <f t="shared" si="91"/>
        <v>#N/A</v>
      </c>
      <c r="K120" s="34" t="e">
        <f>VLOOKUP($A120,'Espesor Techo'!$A$9:$J$58,10,FALSE)</f>
        <v>#N/A</v>
      </c>
      <c r="L120" s="34">
        <v>0.05</v>
      </c>
      <c r="M120" s="33" t="e">
        <f t="shared" si="92"/>
        <v>#N/A</v>
      </c>
      <c r="N120" s="33" t="e">
        <f t="shared" si="93"/>
        <v>#N/A</v>
      </c>
      <c r="O120" s="33" t="e">
        <f t="shared" si="94"/>
        <v>#N/A</v>
      </c>
      <c r="P120" s="33" t="e">
        <f t="shared" si="95"/>
        <v>#N/A</v>
      </c>
      <c r="Q120" s="33" t="e">
        <f t="shared" si="96"/>
        <v>#N/A</v>
      </c>
      <c r="R120" s="33" t="e">
        <f t="shared" si="97"/>
        <v>#N/A</v>
      </c>
      <c r="S120" s="35" t="e">
        <f t="shared" si="98"/>
        <v>#N/A</v>
      </c>
      <c r="T120" s="36">
        <f t="shared" si="99"/>
        <v>857500</v>
      </c>
      <c r="U120" s="36">
        <f t="shared" si="100"/>
        <v>857500</v>
      </c>
      <c r="V120" s="33" t="e">
        <f t="shared" si="101"/>
        <v>#N/A</v>
      </c>
      <c r="W120" s="33" t="e">
        <f t="shared" si="102"/>
        <v>#N/A</v>
      </c>
      <c r="X120" s="50" t="e">
        <f t="shared" si="103"/>
        <v>#N/A</v>
      </c>
      <c r="Y120" s="50" t="e">
        <f t="shared" si="104"/>
        <v>#N/A</v>
      </c>
      <c r="Z120" s="36" t="e">
        <f t="shared" si="105"/>
        <v>#N/A</v>
      </c>
      <c r="AA120" s="15" t="e">
        <f t="shared" si="106"/>
        <v>#N/A</v>
      </c>
      <c r="AB120" s="33" t="e">
        <f t="shared" si="107"/>
        <v>#N/A</v>
      </c>
    </row>
    <row r="121" spans="1:28" ht="13.5" x14ac:dyDescent="0.25">
      <c r="A121" s="160" t="str">
        <f t="array" ref="A121">IFERROR(INDEX('Espesor Techo'!A13:A62, SMALL(IF('Espesor Techo'!J13:J62&gt;=0.2, ROW('Espesor E2'!J13:J62)-ROW('Espesor Techo'!A13)+1), ROW(5:5))), "N/A")</f>
        <v>N/A</v>
      </c>
      <c r="B121" s="72" t="e">
        <f>VLOOKUP($A121,'Espesor Techo'!$A$9:$J$58,2,FALSE)</f>
        <v>#N/A</v>
      </c>
      <c r="C121" s="72" t="e">
        <f>VLOOKUP($A121,'Espesor Techo'!$A$9:$J$58,3,FALSE)</f>
        <v>#N/A</v>
      </c>
      <c r="D121" s="32" t="e">
        <f>VLOOKUP($A121,'Espesor Techo'!$A$9:$J$58,4,FALSE)</f>
        <v>#N/A</v>
      </c>
      <c r="E121" s="32" t="e">
        <f>VLOOKUP($A121,'Espesor Techo'!$A$9:$J$58,5,FALSE)</f>
        <v>#N/A</v>
      </c>
      <c r="F121" s="32" t="e">
        <f>VLOOKUP($A121,'Espesor Techo'!$A$9:$J$58,6,FALSE)</f>
        <v>#N/A</v>
      </c>
      <c r="G121" s="32" t="e">
        <f>VLOOKUP($A121,'Espesor Techo'!$A$9:$J$58,7,FALSE)</f>
        <v>#N/A</v>
      </c>
      <c r="H121" s="32" t="e">
        <f t="shared" si="90"/>
        <v>#N/A</v>
      </c>
      <c r="I121" s="4" t="s">
        <v>52</v>
      </c>
      <c r="J121" s="33" t="e">
        <f t="shared" si="91"/>
        <v>#N/A</v>
      </c>
      <c r="K121" s="34" t="e">
        <f>VLOOKUP($A121,'Espesor Techo'!$A$9:$J$58,10,FALSE)</f>
        <v>#N/A</v>
      </c>
      <c r="L121" s="34">
        <v>0.05</v>
      </c>
      <c r="M121" s="33" t="e">
        <f t="shared" si="92"/>
        <v>#N/A</v>
      </c>
      <c r="N121" s="33" t="e">
        <f t="shared" si="93"/>
        <v>#N/A</v>
      </c>
      <c r="O121" s="33" t="e">
        <f t="shared" si="94"/>
        <v>#N/A</v>
      </c>
      <c r="P121" s="33" t="e">
        <f t="shared" si="95"/>
        <v>#N/A</v>
      </c>
      <c r="Q121" s="33" t="e">
        <f t="shared" si="96"/>
        <v>#N/A</v>
      </c>
      <c r="R121" s="33" t="e">
        <f t="shared" si="97"/>
        <v>#N/A</v>
      </c>
      <c r="S121" s="35" t="e">
        <f t="shared" si="98"/>
        <v>#N/A</v>
      </c>
      <c r="T121" s="36">
        <f t="shared" si="99"/>
        <v>857500</v>
      </c>
      <c r="U121" s="36">
        <f t="shared" si="100"/>
        <v>857500</v>
      </c>
      <c r="V121" s="33" t="e">
        <f t="shared" si="101"/>
        <v>#N/A</v>
      </c>
      <c r="W121" s="33" t="e">
        <f t="shared" si="102"/>
        <v>#N/A</v>
      </c>
      <c r="X121" s="50" t="e">
        <f t="shared" si="103"/>
        <v>#N/A</v>
      </c>
      <c r="Y121" s="50" t="e">
        <f t="shared" si="104"/>
        <v>#N/A</v>
      </c>
      <c r="Z121" s="36" t="e">
        <f t="shared" si="105"/>
        <v>#N/A</v>
      </c>
      <c r="AA121" s="15" t="e">
        <f t="shared" si="106"/>
        <v>#N/A</v>
      </c>
      <c r="AB121" s="33" t="e">
        <f t="shared" si="107"/>
        <v>#N/A</v>
      </c>
    </row>
    <row r="122" spans="1:28" ht="13.5" x14ac:dyDescent="0.25">
      <c r="A122" s="160" t="str">
        <f t="array" ref="A122">IFERROR(INDEX('Espesor Techo'!A14:A63, SMALL(IF('Espesor Techo'!J14:J63&gt;=0.2, ROW('Espesor E2'!J14:J63)-ROW('Espesor Techo'!A14)+1), ROW(6:6))), "N/A")</f>
        <v>N/A</v>
      </c>
      <c r="B122" s="72" t="e">
        <f>VLOOKUP($A122,'Espesor Techo'!$A$9:$J$58,2,FALSE)</f>
        <v>#N/A</v>
      </c>
      <c r="C122" s="72" t="e">
        <f>VLOOKUP($A122,'Espesor Techo'!$A$9:$J$58,3,FALSE)</f>
        <v>#N/A</v>
      </c>
      <c r="D122" s="32" t="e">
        <f>VLOOKUP($A122,'Espesor Techo'!$A$9:$J$58,4,FALSE)</f>
        <v>#N/A</v>
      </c>
      <c r="E122" s="32" t="e">
        <f>VLOOKUP($A122,'Espesor Techo'!$A$9:$J$58,5,FALSE)</f>
        <v>#N/A</v>
      </c>
      <c r="F122" s="32" t="e">
        <f>VLOOKUP($A122,'Espesor Techo'!$A$9:$J$58,6,FALSE)</f>
        <v>#N/A</v>
      </c>
      <c r="G122" s="32" t="e">
        <f>VLOOKUP($A122,'Espesor Techo'!$A$9:$J$58,7,FALSE)</f>
        <v>#N/A</v>
      </c>
      <c r="H122" s="32" t="e">
        <f t="shared" si="90"/>
        <v>#N/A</v>
      </c>
      <c r="I122" s="4" t="s">
        <v>52</v>
      </c>
      <c r="J122" s="33" t="e">
        <f t="shared" si="91"/>
        <v>#N/A</v>
      </c>
      <c r="K122" s="34" t="e">
        <f>VLOOKUP($A122,'Espesor Techo'!$A$9:$J$58,10,FALSE)</f>
        <v>#N/A</v>
      </c>
      <c r="L122" s="34">
        <v>0.05</v>
      </c>
      <c r="M122" s="33" t="e">
        <f t="shared" si="92"/>
        <v>#N/A</v>
      </c>
      <c r="N122" s="33" t="e">
        <f t="shared" si="93"/>
        <v>#N/A</v>
      </c>
      <c r="O122" s="33" t="e">
        <f t="shared" si="94"/>
        <v>#N/A</v>
      </c>
      <c r="P122" s="33" t="e">
        <f t="shared" si="95"/>
        <v>#N/A</v>
      </c>
      <c r="Q122" s="33" t="e">
        <f t="shared" si="96"/>
        <v>#N/A</v>
      </c>
      <c r="R122" s="33" t="e">
        <f t="shared" si="97"/>
        <v>#N/A</v>
      </c>
      <c r="S122" s="35" t="e">
        <f t="shared" si="98"/>
        <v>#N/A</v>
      </c>
      <c r="T122" s="36">
        <f t="shared" si="99"/>
        <v>857500</v>
      </c>
      <c r="U122" s="36">
        <f t="shared" si="100"/>
        <v>857500</v>
      </c>
      <c r="V122" s="33" t="e">
        <f t="shared" si="101"/>
        <v>#N/A</v>
      </c>
      <c r="W122" s="33" t="e">
        <f t="shared" si="102"/>
        <v>#N/A</v>
      </c>
      <c r="X122" s="50" t="e">
        <f t="shared" si="103"/>
        <v>#N/A</v>
      </c>
      <c r="Y122" s="50" t="e">
        <f t="shared" si="104"/>
        <v>#N/A</v>
      </c>
      <c r="Z122" s="36" t="e">
        <f t="shared" si="105"/>
        <v>#N/A</v>
      </c>
      <c r="AA122" s="15" t="e">
        <f t="shared" si="106"/>
        <v>#N/A</v>
      </c>
      <c r="AB122" s="33" t="e">
        <f t="shared" si="107"/>
        <v>#N/A</v>
      </c>
    </row>
    <row r="123" spans="1:28" ht="13.5" x14ac:dyDescent="0.25">
      <c r="A123" s="160" t="str">
        <f t="array" ref="A123">IFERROR(INDEX('Espesor Techo'!A15:A64, SMALL(IF('Espesor Techo'!J15:J64&gt;=0.2, ROW('Espesor E2'!J15:J64)-ROW('Espesor Techo'!A15)+1), ROW(7:7))), "N/A")</f>
        <v>N/A</v>
      </c>
      <c r="B123" s="72" t="e">
        <f>VLOOKUP($A123,'Espesor Techo'!$A$9:$J$58,2,FALSE)</f>
        <v>#N/A</v>
      </c>
      <c r="C123" s="72" t="e">
        <f>VLOOKUP($A123,'Espesor Techo'!$A$9:$J$58,3,FALSE)</f>
        <v>#N/A</v>
      </c>
      <c r="D123" s="32" t="e">
        <f>VLOOKUP($A123,'Espesor Techo'!$A$9:$J$58,4,FALSE)</f>
        <v>#N/A</v>
      </c>
      <c r="E123" s="32" t="e">
        <f>VLOOKUP($A123,'Espesor Techo'!$A$9:$J$58,5,FALSE)</f>
        <v>#N/A</v>
      </c>
      <c r="F123" s="32" t="e">
        <f>VLOOKUP($A123,'Espesor Techo'!$A$9:$J$58,6,FALSE)</f>
        <v>#N/A</v>
      </c>
      <c r="G123" s="32" t="e">
        <f>VLOOKUP($A123,'Espesor Techo'!$A$9:$J$58,7,FALSE)</f>
        <v>#N/A</v>
      </c>
      <c r="H123" s="32" t="e">
        <f t="shared" si="90"/>
        <v>#N/A</v>
      </c>
      <c r="I123" s="4" t="s">
        <v>52</v>
      </c>
      <c r="J123" s="33" t="e">
        <f t="shared" si="91"/>
        <v>#N/A</v>
      </c>
      <c r="K123" s="34" t="e">
        <f>VLOOKUP($A123,'Espesor Techo'!$A$9:$J$58,10,FALSE)</f>
        <v>#N/A</v>
      </c>
      <c r="L123" s="34">
        <v>0.05</v>
      </c>
      <c r="M123" s="33" t="e">
        <f t="shared" si="92"/>
        <v>#N/A</v>
      </c>
      <c r="N123" s="33" t="e">
        <f t="shared" si="93"/>
        <v>#N/A</v>
      </c>
      <c r="O123" s="33" t="e">
        <f t="shared" si="94"/>
        <v>#N/A</v>
      </c>
      <c r="P123" s="33" t="e">
        <f t="shared" si="95"/>
        <v>#N/A</v>
      </c>
      <c r="Q123" s="33" t="e">
        <f t="shared" si="96"/>
        <v>#N/A</v>
      </c>
      <c r="R123" s="33" t="e">
        <f t="shared" si="97"/>
        <v>#N/A</v>
      </c>
      <c r="S123" s="35" t="e">
        <f t="shared" si="98"/>
        <v>#N/A</v>
      </c>
      <c r="T123" s="36">
        <f t="shared" si="99"/>
        <v>857500</v>
      </c>
      <c r="U123" s="36">
        <f t="shared" si="100"/>
        <v>857500</v>
      </c>
      <c r="V123" s="33" t="e">
        <f t="shared" si="101"/>
        <v>#N/A</v>
      </c>
      <c r="W123" s="33" t="e">
        <f t="shared" si="102"/>
        <v>#N/A</v>
      </c>
      <c r="X123" s="50" t="e">
        <f t="shared" si="103"/>
        <v>#N/A</v>
      </c>
      <c r="Y123" s="50" t="e">
        <f t="shared" si="104"/>
        <v>#N/A</v>
      </c>
      <c r="Z123" s="36" t="e">
        <f t="shared" si="105"/>
        <v>#N/A</v>
      </c>
      <c r="AA123" s="15" t="e">
        <f t="shared" si="106"/>
        <v>#N/A</v>
      </c>
      <c r="AB123" s="33" t="e">
        <f t="shared" si="107"/>
        <v>#N/A</v>
      </c>
    </row>
    <row r="124" spans="1:28" ht="13.5" x14ac:dyDescent="0.25">
      <c r="A124" s="160" t="str">
        <f t="array" ref="A124">IFERROR(INDEX('Espesor Techo'!A16:A65, SMALL(IF('Espesor Techo'!J16:J65&gt;=0.2, ROW('Espesor E2'!J16:J65)-ROW('Espesor Techo'!A16)+1), ROW(8:8))), "N/A")</f>
        <v>N/A</v>
      </c>
      <c r="B124" s="72" t="e">
        <f>VLOOKUP($A124,'Espesor Techo'!$A$9:$J$58,2,FALSE)</f>
        <v>#N/A</v>
      </c>
      <c r="C124" s="72" t="e">
        <f>VLOOKUP($A124,'Espesor Techo'!$A$9:$J$58,3,FALSE)</f>
        <v>#N/A</v>
      </c>
      <c r="D124" s="32" t="e">
        <f>VLOOKUP($A124,'Espesor Techo'!$A$9:$J$58,4,FALSE)</f>
        <v>#N/A</v>
      </c>
      <c r="E124" s="32" t="e">
        <f>VLOOKUP($A124,'Espesor Techo'!$A$9:$J$58,5,FALSE)</f>
        <v>#N/A</v>
      </c>
      <c r="F124" s="32" t="e">
        <f>VLOOKUP($A124,'Espesor Techo'!$A$9:$J$58,6,FALSE)</f>
        <v>#N/A</v>
      </c>
      <c r="G124" s="32" t="e">
        <f>VLOOKUP($A124,'Espesor Techo'!$A$9:$J$58,7,FALSE)</f>
        <v>#N/A</v>
      </c>
      <c r="H124" s="32" t="e">
        <f t="shared" si="90"/>
        <v>#N/A</v>
      </c>
      <c r="I124" s="4" t="s">
        <v>52</v>
      </c>
      <c r="J124" s="33" t="e">
        <f t="shared" si="91"/>
        <v>#N/A</v>
      </c>
      <c r="K124" s="34" t="e">
        <f>VLOOKUP($A124,'Espesor Techo'!$A$9:$J$58,10,FALSE)</f>
        <v>#N/A</v>
      </c>
      <c r="L124" s="34">
        <v>0.05</v>
      </c>
      <c r="M124" s="33" t="e">
        <f t="shared" si="92"/>
        <v>#N/A</v>
      </c>
      <c r="N124" s="33" t="e">
        <f t="shared" si="93"/>
        <v>#N/A</v>
      </c>
      <c r="O124" s="33" t="e">
        <f t="shared" si="94"/>
        <v>#N/A</v>
      </c>
      <c r="P124" s="33" t="e">
        <f t="shared" si="95"/>
        <v>#N/A</v>
      </c>
      <c r="Q124" s="33" t="e">
        <f t="shared" si="96"/>
        <v>#N/A</v>
      </c>
      <c r="R124" s="33" t="e">
        <f t="shared" si="97"/>
        <v>#N/A</v>
      </c>
      <c r="S124" s="35" t="e">
        <f t="shared" si="98"/>
        <v>#N/A</v>
      </c>
      <c r="T124" s="36">
        <f t="shared" si="99"/>
        <v>857500</v>
      </c>
      <c r="U124" s="36">
        <f t="shared" si="100"/>
        <v>857500</v>
      </c>
      <c r="V124" s="33" t="e">
        <f t="shared" si="101"/>
        <v>#N/A</v>
      </c>
      <c r="W124" s="33" t="e">
        <f t="shared" si="102"/>
        <v>#N/A</v>
      </c>
      <c r="X124" s="50" t="e">
        <f t="shared" si="103"/>
        <v>#N/A</v>
      </c>
      <c r="Y124" s="50" t="e">
        <f t="shared" si="104"/>
        <v>#N/A</v>
      </c>
      <c r="Z124" s="36" t="e">
        <f t="shared" si="105"/>
        <v>#N/A</v>
      </c>
      <c r="AA124" s="15" t="e">
        <f t="shared" si="106"/>
        <v>#N/A</v>
      </c>
      <c r="AB124" s="33" t="e">
        <f t="shared" si="107"/>
        <v>#N/A</v>
      </c>
    </row>
    <row r="125" spans="1:28" ht="13.5" x14ac:dyDescent="0.25">
      <c r="A125" s="160" t="str">
        <f t="array" ref="A125">IFERROR(INDEX('Espesor Techo'!A17:A66, SMALL(IF('Espesor Techo'!J17:J66&gt;=0.2, ROW('Espesor E2'!J17:J66)-ROW('Espesor Techo'!A17)+1), ROW(9:9))), "N/A")</f>
        <v>N/A</v>
      </c>
      <c r="B125" s="72" t="e">
        <f>VLOOKUP($A125,'Espesor Techo'!$A$9:$J$58,2,FALSE)</f>
        <v>#N/A</v>
      </c>
      <c r="C125" s="72" t="e">
        <f>VLOOKUP($A125,'Espesor Techo'!$A$9:$J$58,3,FALSE)</f>
        <v>#N/A</v>
      </c>
      <c r="D125" s="32" t="e">
        <f>VLOOKUP($A125,'Espesor Techo'!$A$9:$J$58,4,FALSE)</f>
        <v>#N/A</v>
      </c>
      <c r="E125" s="32" t="e">
        <f>VLOOKUP($A125,'Espesor Techo'!$A$9:$J$58,5,FALSE)</f>
        <v>#N/A</v>
      </c>
      <c r="F125" s="32" t="e">
        <f>VLOOKUP($A125,'Espesor Techo'!$A$9:$J$58,6,FALSE)</f>
        <v>#N/A</v>
      </c>
      <c r="G125" s="32" t="e">
        <f>VLOOKUP($A125,'Espesor Techo'!$A$9:$J$58,7,FALSE)</f>
        <v>#N/A</v>
      </c>
      <c r="H125" s="32" t="e">
        <f t="shared" si="90"/>
        <v>#N/A</v>
      </c>
      <c r="I125" s="4" t="s">
        <v>52</v>
      </c>
      <c r="J125" s="33" t="e">
        <f t="shared" si="91"/>
        <v>#N/A</v>
      </c>
      <c r="K125" s="34" t="e">
        <f>VLOOKUP($A125,'Espesor Techo'!$A$9:$J$58,10,FALSE)</f>
        <v>#N/A</v>
      </c>
      <c r="L125" s="34">
        <v>0.05</v>
      </c>
      <c r="M125" s="33" t="e">
        <f t="shared" si="92"/>
        <v>#N/A</v>
      </c>
      <c r="N125" s="33" t="e">
        <f t="shared" si="93"/>
        <v>#N/A</v>
      </c>
      <c r="O125" s="33" t="e">
        <f t="shared" si="94"/>
        <v>#N/A</v>
      </c>
      <c r="P125" s="33" t="e">
        <f t="shared" si="95"/>
        <v>#N/A</v>
      </c>
      <c r="Q125" s="33" t="e">
        <f t="shared" si="96"/>
        <v>#N/A</v>
      </c>
      <c r="R125" s="33" t="e">
        <f t="shared" si="97"/>
        <v>#N/A</v>
      </c>
      <c r="S125" s="35" t="e">
        <f t="shared" si="98"/>
        <v>#N/A</v>
      </c>
      <c r="T125" s="36">
        <f t="shared" si="99"/>
        <v>857500</v>
      </c>
      <c r="U125" s="36">
        <f t="shared" si="100"/>
        <v>857500</v>
      </c>
      <c r="V125" s="33" t="e">
        <f t="shared" si="101"/>
        <v>#N/A</v>
      </c>
      <c r="W125" s="33" t="e">
        <f t="shared" si="102"/>
        <v>#N/A</v>
      </c>
      <c r="X125" s="50" t="e">
        <f t="shared" si="103"/>
        <v>#N/A</v>
      </c>
      <c r="Y125" s="50" t="e">
        <f t="shared" si="104"/>
        <v>#N/A</v>
      </c>
      <c r="Z125" s="36" t="e">
        <f t="shared" si="105"/>
        <v>#N/A</v>
      </c>
      <c r="AA125" s="15" t="e">
        <f t="shared" si="106"/>
        <v>#N/A</v>
      </c>
      <c r="AB125" s="33" t="e">
        <f t="shared" si="107"/>
        <v>#N/A</v>
      </c>
    </row>
    <row r="126" spans="1:28" ht="13.5" x14ac:dyDescent="0.25">
      <c r="A126" s="160" t="str">
        <f t="array" ref="A126">IFERROR(INDEX('Espesor Techo'!A18:A67, SMALL(IF('Espesor Techo'!J18:J67&gt;=0.2, ROW('Espesor E2'!J18:J67)-ROW('Espesor Techo'!A18)+1), ROW(10:10))), "N/A")</f>
        <v>N/A</v>
      </c>
      <c r="B126" s="72" t="e">
        <f>VLOOKUP($A126,'Espesor Techo'!$A$9:$J$58,2,FALSE)</f>
        <v>#N/A</v>
      </c>
      <c r="C126" s="72" t="e">
        <f>VLOOKUP($A126,'Espesor Techo'!$A$9:$J$58,3,FALSE)</f>
        <v>#N/A</v>
      </c>
      <c r="D126" s="32" t="e">
        <f>VLOOKUP($A126,'Espesor Techo'!$A$9:$J$58,4,FALSE)</f>
        <v>#N/A</v>
      </c>
      <c r="E126" s="32" t="e">
        <f>VLOOKUP($A126,'Espesor Techo'!$A$9:$J$58,5,FALSE)</f>
        <v>#N/A</v>
      </c>
      <c r="F126" s="32" t="e">
        <f>VLOOKUP($A126,'Espesor Techo'!$A$9:$J$58,6,FALSE)</f>
        <v>#N/A</v>
      </c>
      <c r="G126" s="32" t="e">
        <f>VLOOKUP($A126,'Espesor Techo'!$A$9:$J$58,7,FALSE)</f>
        <v>#N/A</v>
      </c>
      <c r="H126" s="32" t="e">
        <f t="shared" si="90"/>
        <v>#N/A</v>
      </c>
      <c r="I126" s="4" t="s">
        <v>52</v>
      </c>
      <c r="J126" s="33" t="e">
        <f t="shared" si="91"/>
        <v>#N/A</v>
      </c>
      <c r="K126" s="34" t="e">
        <f>VLOOKUP($A126,'Espesor Techo'!$A$9:$J$58,10,FALSE)</f>
        <v>#N/A</v>
      </c>
      <c r="L126" s="34">
        <v>0.05</v>
      </c>
      <c r="M126" s="33" t="e">
        <f t="shared" si="92"/>
        <v>#N/A</v>
      </c>
      <c r="N126" s="33" t="e">
        <f t="shared" si="93"/>
        <v>#N/A</v>
      </c>
      <c r="O126" s="33" t="e">
        <f t="shared" si="94"/>
        <v>#N/A</v>
      </c>
      <c r="P126" s="33" t="e">
        <f t="shared" si="95"/>
        <v>#N/A</v>
      </c>
      <c r="Q126" s="33" t="e">
        <f t="shared" si="96"/>
        <v>#N/A</v>
      </c>
      <c r="R126" s="33" t="e">
        <f t="shared" si="97"/>
        <v>#N/A</v>
      </c>
      <c r="S126" s="35" t="e">
        <f t="shared" si="98"/>
        <v>#N/A</v>
      </c>
      <c r="T126" s="36">
        <f t="shared" si="99"/>
        <v>857500</v>
      </c>
      <c r="U126" s="36">
        <f t="shared" si="100"/>
        <v>857500</v>
      </c>
      <c r="V126" s="33" t="e">
        <f t="shared" si="101"/>
        <v>#N/A</v>
      </c>
      <c r="W126" s="33" t="e">
        <f t="shared" si="102"/>
        <v>#N/A</v>
      </c>
      <c r="X126" s="50" t="e">
        <f t="shared" si="103"/>
        <v>#N/A</v>
      </c>
      <c r="Y126" s="50" t="e">
        <f t="shared" si="104"/>
        <v>#N/A</v>
      </c>
      <c r="Z126" s="36" t="e">
        <f t="shared" si="105"/>
        <v>#N/A</v>
      </c>
      <c r="AA126" s="15" t="e">
        <f t="shared" si="106"/>
        <v>#N/A</v>
      </c>
      <c r="AB126" s="33" t="e">
        <f t="shared" si="107"/>
        <v>#N/A</v>
      </c>
    </row>
    <row r="127" spans="1:28" ht="13.5" x14ac:dyDescent="0.25">
      <c r="A127" s="160" t="str">
        <f t="array" ref="A127">IFERROR(INDEX('Espesor Techo'!A19:A68, SMALL(IF('Espesor Techo'!J19:J68&gt;=0.2, ROW('Espesor E2'!J19:J68)-ROW('Espesor Techo'!A19)+1), ROW(11:11))), "N/A")</f>
        <v>N/A</v>
      </c>
      <c r="B127" s="72" t="e">
        <f>VLOOKUP($A127,'Espesor Techo'!$A$9:$J$58,2,FALSE)</f>
        <v>#N/A</v>
      </c>
      <c r="C127" s="72" t="e">
        <f>VLOOKUP($A127,'Espesor Techo'!$A$9:$J$58,3,FALSE)</f>
        <v>#N/A</v>
      </c>
      <c r="D127" s="32" t="e">
        <f>VLOOKUP($A127,'Espesor Techo'!$A$9:$J$58,4,FALSE)</f>
        <v>#N/A</v>
      </c>
      <c r="E127" s="32" t="e">
        <f>VLOOKUP($A127,'Espesor Techo'!$A$9:$J$58,5,FALSE)</f>
        <v>#N/A</v>
      </c>
      <c r="F127" s="32" t="e">
        <f>VLOOKUP($A127,'Espesor Techo'!$A$9:$J$58,6,FALSE)</f>
        <v>#N/A</v>
      </c>
      <c r="G127" s="32" t="e">
        <f>VLOOKUP($A127,'Espesor Techo'!$A$9:$J$58,7,FALSE)</f>
        <v>#N/A</v>
      </c>
      <c r="H127" s="32" t="e">
        <f t="shared" si="90"/>
        <v>#N/A</v>
      </c>
      <c r="I127" s="4" t="s">
        <v>52</v>
      </c>
      <c r="J127" s="33" t="e">
        <f t="shared" si="91"/>
        <v>#N/A</v>
      </c>
      <c r="K127" s="34" t="e">
        <f>VLOOKUP($A127,'Espesor Techo'!$A$9:$J$58,10,FALSE)</f>
        <v>#N/A</v>
      </c>
      <c r="L127" s="34">
        <v>0.05</v>
      </c>
      <c r="M127" s="33" t="e">
        <f t="shared" si="92"/>
        <v>#N/A</v>
      </c>
      <c r="N127" s="33" t="e">
        <f t="shared" si="93"/>
        <v>#N/A</v>
      </c>
      <c r="O127" s="33" t="e">
        <f t="shared" si="94"/>
        <v>#N/A</v>
      </c>
      <c r="P127" s="33" t="e">
        <f t="shared" si="95"/>
        <v>#N/A</v>
      </c>
      <c r="Q127" s="33" t="e">
        <f t="shared" si="96"/>
        <v>#N/A</v>
      </c>
      <c r="R127" s="33" t="e">
        <f t="shared" si="97"/>
        <v>#N/A</v>
      </c>
      <c r="S127" s="35" t="e">
        <f t="shared" si="98"/>
        <v>#N/A</v>
      </c>
      <c r="T127" s="36">
        <f t="shared" si="99"/>
        <v>857500</v>
      </c>
      <c r="U127" s="36">
        <f t="shared" si="100"/>
        <v>857500</v>
      </c>
      <c r="V127" s="33" t="e">
        <f t="shared" si="101"/>
        <v>#N/A</v>
      </c>
      <c r="W127" s="33" t="e">
        <f t="shared" si="102"/>
        <v>#N/A</v>
      </c>
      <c r="X127" s="50" t="e">
        <f t="shared" si="103"/>
        <v>#N/A</v>
      </c>
      <c r="Y127" s="50" t="e">
        <f t="shared" si="104"/>
        <v>#N/A</v>
      </c>
      <c r="Z127" s="36" t="e">
        <f t="shared" si="105"/>
        <v>#N/A</v>
      </c>
      <c r="AA127" s="15" t="e">
        <f t="shared" si="106"/>
        <v>#N/A</v>
      </c>
      <c r="AB127" s="33" t="e">
        <f t="shared" si="107"/>
        <v>#N/A</v>
      </c>
    </row>
    <row r="128" spans="1:28" ht="13.5" x14ac:dyDescent="0.25">
      <c r="A128" s="160" t="str">
        <f t="array" ref="A128">IFERROR(INDEX('Espesor Techo'!A20:A69, SMALL(IF('Espesor Techo'!J20:J69&gt;=0.2, ROW('Espesor E2'!J20:J69)-ROW('Espesor Techo'!A20)+1), ROW(12:12))), "N/A")</f>
        <v>N/A</v>
      </c>
      <c r="B128" s="72" t="e">
        <f>VLOOKUP($A128,'Espesor Techo'!$A$9:$J$58,2,FALSE)</f>
        <v>#N/A</v>
      </c>
      <c r="C128" s="72" t="e">
        <f>VLOOKUP($A128,'Espesor Techo'!$A$9:$J$58,3,FALSE)</f>
        <v>#N/A</v>
      </c>
      <c r="D128" s="32" t="e">
        <f>VLOOKUP($A128,'Espesor Techo'!$A$9:$J$58,4,FALSE)</f>
        <v>#N/A</v>
      </c>
      <c r="E128" s="32" t="e">
        <f>VLOOKUP($A128,'Espesor Techo'!$A$9:$J$58,5,FALSE)</f>
        <v>#N/A</v>
      </c>
      <c r="F128" s="32" t="e">
        <f>VLOOKUP($A128,'Espesor Techo'!$A$9:$J$58,6,FALSE)</f>
        <v>#N/A</v>
      </c>
      <c r="G128" s="32" t="e">
        <f>VLOOKUP($A128,'Espesor Techo'!$A$9:$J$58,7,FALSE)</f>
        <v>#N/A</v>
      </c>
      <c r="H128" s="32" t="e">
        <f t="shared" si="90"/>
        <v>#N/A</v>
      </c>
      <c r="I128" s="4" t="s">
        <v>52</v>
      </c>
      <c r="J128" s="33" t="e">
        <f t="shared" si="91"/>
        <v>#N/A</v>
      </c>
      <c r="K128" s="34" t="e">
        <f>VLOOKUP($A128,'Espesor Techo'!$A$9:$J$58,10,FALSE)</f>
        <v>#N/A</v>
      </c>
      <c r="L128" s="34">
        <v>0.05</v>
      </c>
      <c r="M128" s="33" t="e">
        <f t="shared" si="92"/>
        <v>#N/A</v>
      </c>
      <c r="N128" s="33" t="e">
        <f t="shared" si="93"/>
        <v>#N/A</v>
      </c>
      <c r="O128" s="33" t="e">
        <f t="shared" si="94"/>
        <v>#N/A</v>
      </c>
      <c r="P128" s="33" t="e">
        <f t="shared" si="95"/>
        <v>#N/A</v>
      </c>
      <c r="Q128" s="33" t="e">
        <f t="shared" si="96"/>
        <v>#N/A</v>
      </c>
      <c r="R128" s="33" t="e">
        <f t="shared" si="97"/>
        <v>#N/A</v>
      </c>
      <c r="S128" s="35" t="e">
        <f t="shared" si="98"/>
        <v>#N/A</v>
      </c>
      <c r="T128" s="36">
        <f t="shared" si="99"/>
        <v>857500</v>
      </c>
      <c r="U128" s="36">
        <f t="shared" si="100"/>
        <v>857500</v>
      </c>
      <c r="V128" s="33" t="e">
        <f t="shared" si="101"/>
        <v>#N/A</v>
      </c>
      <c r="W128" s="33" t="e">
        <f t="shared" si="102"/>
        <v>#N/A</v>
      </c>
      <c r="X128" s="50" t="e">
        <f t="shared" si="103"/>
        <v>#N/A</v>
      </c>
      <c r="Y128" s="50" t="e">
        <f t="shared" si="104"/>
        <v>#N/A</v>
      </c>
      <c r="Z128" s="36" t="e">
        <f t="shared" si="105"/>
        <v>#N/A</v>
      </c>
      <c r="AA128" s="15" t="e">
        <f t="shared" si="106"/>
        <v>#N/A</v>
      </c>
      <c r="AB128" s="33" t="e">
        <f t="shared" si="107"/>
        <v>#N/A</v>
      </c>
    </row>
    <row r="129" spans="1:28" ht="13.5" x14ac:dyDescent="0.25">
      <c r="A129" s="160" t="str">
        <f t="array" ref="A129">IFERROR(INDEX('Espesor Techo'!A21:A70, SMALL(IF('Espesor Techo'!J21:J70&gt;=0.2, ROW('Espesor E2'!J21:J70)-ROW('Espesor Techo'!A21)+1), ROW(13:13))), "N/A")</f>
        <v>N/A</v>
      </c>
      <c r="B129" s="72" t="e">
        <f>VLOOKUP($A129,'Espesor Techo'!$A$9:$J$58,2,FALSE)</f>
        <v>#N/A</v>
      </c>
      <c r="C129" s="72" t="e">
        <f>VLOOKUP($A129,'Espesor Techo'!$A$9:$J$58,3,FALSE)</f>
        <v>#N/A</v>
      </c>
      <c r="D129" s="32" t="e">
        <f>VLOOKUP($A129,'Espesor Techo'!$A$9:$J$58,4,FALSE)</f>
        <v>#N/A</v>
      </c>
      <c r="E129" s="32" t="e">
        <f>VLOOKUP($A129,'Espesor Techo'!$A$9:$J$58,5,FALSE)</f>
        <v>#N/A</v>
      </c>
      <c r="F129" s="32" t="e">
        <f>VLOOKUP($A129,'Espesor Techo'!$A$9:$J$58,6,FALSE)</f>
        <v>#N/A</v>
      </c>
      <c r="G129" s="32" t="e">
        <f>VLOOKUP($A129,'Espesor Techo'!$A$9:$J$58,7,FALSE)</f>
        <v>#N/A</v>
      </c>
      <c r="H129" s="32" t="e">
        <f t="shared" si="90"/>
        <v>#N/A</v>
      </c>
      <c r="I129" s="4" t="s">
        <v>52</v>
      </c>
      <c r="J129" s="33" t="e">
        <f t="shared" si="91"/>
        <v>#N/A</v>
      </c>
      <c r="K129" s="34" t="e">
        <f>VLOOKUP($A129,'Espesor Techo'!$A$9:$J$58,10,FALSE)</f>
        <v>#N/A</v>
      </c>
      <c r="L129" s="34">
        <v>0.05</v>
      </c>
      <c r="M129" s="33" t="e">
        <f t="shared" si="92"/>
        <v>#N/A</v>
      </c>
      <c r="N129" s="33" t="e">
        <f t="shared" si="93"/>
        <v>#N/A</v>
      </c>
      <c r="O129" s="33" t="e">
        <f t="shared" si="94"/>
        <v>#N/A</v>
      </c>
      <c r="P129" s="33" t="e">
        <f t="shared" si="95"/>
        <v>#N/A</v>
      </c>
      <c r="Q129" s="33" t="e">
        <f t="shared" si="96"/>
        <v>#N/A</v>
      </c>
      <c r="R129" s="33" t="e">
        <f t="shared" si="97"/>
        <v>#N/A</v>
      </c>
      <c r="S129" s="35" t="e">
        <f t="shared" si="98"/>
        <v>#N/A</v>
      </c>
      <c r="T129" s="36">
        <f t="shared" si="99"/>
        <v>857500</v>
      </c>
      <c r="U129" s="36">
        <f t="shared" si="100"/>
        <v>857500</v>
      </c>
      <c r="V129" s="33" t="e">
        <f t="shared" si="101"/>
        <v>#N/A</v>
      </c>
      <c r="W129" s="33" t="e">
        <f t="shared" si="102"/>
        <v>#N/A</v>
      </c>
      <c r="X129" s="50" t="e">
        <f t="shared" si="103"/>
        <v>#N/A</v>
      </c>
      <c r="Y129" s="50" t="e">
        <f t="shared" si="104"/>
        <v>#N/A</v>
      </c>
      <c r="Z129" s="36" t="e">
        <f t="shared" si="105"/>
        <v>#N/A</v>
      </c>
      <c r="AA129" s="15" t="e">
        <f t="shared" si="106"/>
        <v>#N/A</v>
      </c>
      <c r="AB129" s="33" t="e">
        <f t="shared" si="107"/>
        <v>#N/A</v>
      </c>
    </row>
    <row r="130" spans="1:28" ht="13.5" x14ac:dyDescent="0.25">
      <c r="A130" s="160" t="str">
        <f t="array" ref="A130">IFERROR(INDEX('Espesor Techo'!A22:A71, SMALL(IF('Espesor Techo'!J22:J71&gt;=0.2, ROW('Espesor E2'!J22:J71)-ROW('Espesor Techo'!A22)+1), ROW(14:14))), "N/A")</f>
        <v>N/A</v>
      </c>
      <c r="B130" s="72" t="e">
        <f>VLOOKUP($A130,'Espesor Techo'!$A$9:$J$58,2,FALSE)</f>
        <v>#N/A</v>
      </c>
      <c r="C130" s="72" t="e">
        <f>VLOOKUP($A130,'Espesor Techo'!$A$9:$J$58,3,FALSE)</f>
        <v>#N/A</v>
      </c>
      <c r="D130" s="32" t="e">
        <f>VLOOKUP($A130,'Espesor Techo'!$A$9:$J$58,4,FALSE)</f>
        <v>#N/A</v>
      </c>
      <c r="E130" s="32" t="e">
        <f>VLOOKUP($A130,'Espesor Techo'!$A$9:$J$58,5,FALSE)</f>
        <v>#N/A</v>
      </c>
      <c r="F130" s="32" t="e">
        <f>VLOOKUP($A130,'Espesor Techo'!$A$9:$J$58,6,FALSE)</f>
        <v>#N/A</v>
      </c>
      <c r="G130" s="32" t="e">
        <f>VLOOKUP($A130,'Espesor Techo'!$A$9:$J$58,7,FALSE)</f>
        <v>#N/A</v>
      </c>
      <c r="H130" s="32" t="e">
        <f t="shared" si="90"/>
        <v>#N/A</v>
      </c>
      <c r="I130" s="4" t="s">
        <v>52</v>
      </c>
      <c r="J130" s="33" t="e">
        <f t="shared" si="91"/>
        <v>#N/A</v>
      </c>
      <c r="K130" s="34" t="e">
        <f>VLOOKUP($A130,'Espesor Techo'!$A$9:$J$58,10,FALSE)</f>
        <v>#N/A</v>
      </c>
      <c r="L130" s="34">
        <v>0.05</v>
      </c>
      <c r="M130" s="33" t="e">
        <f t="shared" si="92"/>
        <v>#N/A</v>
      </c>
      <c r="N130" s="33" t="e">
        <f t="shared" si="93"/>
        <v>#N/A</v>
      </c>
      <c r="O130" s="33" t="e">
        <f t="shared" si="94"/>
        <v>#N/A</v>
      </c>
      <c r="P130" s="33" t="e">
        <f t="shared" si="95"/>
        <v>#N/A</v>
      </c>
      <c r="Q130" s="33" t="e">
        <f t="shared" si="96"/>
        <v>#N/A</v>
      </c>
      <c r="R130" s="33" t="e">
        <f t="shared" si="97"/>
        <v>#N/A</v>
      </c>
      <c r="S130" s="35" t="e">
        <f t="shared" si="98"/>
        <v>#N/A</v>
      </c>
      <c r="T130" s="36">
        <f t="shared" si="99"/>
        <v>857500</v>
      </c>
      <c r="U130" s="36">
        <f t="shared" si="100"/>
        <v>857500</v>
      </c>
      <c r="V130" s="33" t="e">
        <f t="shared" si="101"/>
        <v>#N/A</v>
      </c>
      <c r="W130" s="33" t="e">
        <f t="shared" si="102"/>
        <v>#N/A</v>
      </c>
      <c r="X130" s="50" t="e">
        <f t="shared" si="103"/>
        <v>#N/A</v>
      </c>
      <c r="Y130" s="50" t="e">
        <f t="shared" si="104"/>
        <v>#N/A</v>
      </c>
      <c r="Z130" s="36" t="e">
        <f t="shared" si="105"/>
        <v>#N/A</v>
      </c>
      <c r="AA130" s="15" t="e">
        <f t="shared" si="106"/>
        <v>#N/A</v>
      </c>
      <c r="AB130" s="33" t="e">
        <f t="shared" si="107"/>
        <v>#N/A</v>
      </c>
    </row>
    <row r="131" spans="1:28" ht="13.5" x14ac:dyDescent="0.25">
      <c r="A131" s="160" t="str">
        <f t="array" ref="A131">IFERROR(INDEX('Espesor Techo'!A23:A72, SMALL(IF('Espesor Techo'!J23:J72&gt;=0.2, ROW('Espesor E2'!J23:J72)-ROW('Espesor Techo'!A23)+1), ROW(15:15))), "N/A")</f>
        <v>N/A</v>
      </c>
      <c r="B131" s="72" t="e">
        <f>VLOOKUP($A131,'Espesor Techo'!$A$9:$J$58,2,FALSE)</f>
        <v>#N/A</v>
      </c>
      <c r="C131" s="72" t="e">
        <f>VLOOKUP($A131,'Espesor Techo'!$A$9:$J$58,3,FALSE)</f>
        <v>#N/A</v>
      </c>
      <c r="D131" s="32" t="e">
        <f>VLOOKUP($A131,'Espesor Techo'!$A$9:$J$58,4,FALSE)</f>
        <v>#N/A</v>
      </c>
      <c r="E131" s="32" t="e">
        <f>VLOOKUP($A131,'Espesor Techo'!$A$9:$J$58,5,FALSE)</f>
        <v>#N/A</v>
      </c>
      <c r="F131" s="32" t="e">
        <f>VLOOKUP($A131,'Espesor Techo'!$A$9:$J$58,6,FALSE)</f>
        <v>#N/A</v>
      </c>
      <c r="G131" s="32" t="e">
        <f>VLOOKUP($A131,'Espesor Techo'!$A$9:$J$58,7,FALSE)</f>
        <v>#N/A</v>
      </c>
      <c r="H131" s="32" t="e">
        <f t="shared" si="90"/>
        <v>#N/A</v>
      </c>
      <c r="I131" s="4" t="s">
        <v>52</v>
      </c>
      <c r="J131" s="33" t="e">
        <f t="shared" si="91"/>
        <v>#N/A</v>
      </c>
      <c r="K131" s="34" t="e">
        <f>VLOOKUP($A131,'Espesor Techo'!$A$9:$J$58,10,FALSE)</f>
        <v>#N/A</v>
      </c>
      <c r="L131" s="34">
        <v>0.05</v>
      </c>
      <c r="M131" s="33" t="e">
        <f t="shared" si="92"/>
        <v>#N/A</v>
      </c>
      <c r="N131" s="33" t="e">
        <f t="shared" si="93"/>
        <v>#N/A</v>
      </c>
      <c r="O131" s="33" t="e">
        <f t="shared" si="94"/>
        <v>#N/A</v>
      </c>
      <c r="P131" s="33" t="e">
        <f t="shared" si="95"/>
        <v>#N/A</v>
      </c>
      <c r="Q131" s="33" t="e">
        <f t="shared" si="96"/>
        <v>#N/A</v>
      </c>
      <c r="R131" s="33" t="e">
        <f t="shared" si="97"/>
        <v>#N/A</v>
      </c>
      <c r="S131" s="35" t="e">
        <f t="shared" si="98"/>
        <v>#N/A</v>
      </c>
      <c r="T131" s="36">
        <f t="shared" si="99"/>
        <v>857500</v>
      </c>
      <c r="U131" s="36">
        <f t="shared" si="100"/>
        <v>857500</v>
      </c>
      <c r="V131" s="33" t="e">
        <f t="shared" si="101"/>
        <v>#N/A</v>
      </c>
      <c r="W131" s="33" t="e">
        <f t="shared" si="102"/>
        <v>#N/A</v>
      </c>
      <c r="X131" s="50" t="e">
        <f t="shared" si="103"/>
        <v>#N/A</v>
      </c>
      <c r="Y131" s="50" t="e">
        <f t="shared" si="104"/>
        <v>#N/A</v>
      </c>
      <c r="Z131" s="36" t="e">
        <f t="shared" si="105"/>
        <v>#N/A</v>
      </c>
      <c r="AA131" s="15" t="e">
        <f t="shared" si="106"/>
        <v>#N/A</v>
      </c>
      <c r="AB131" s="33" t="e">
        <f t="shared" si="107"/>
        <v>#N/A</v>
      </c>
    </row>
    <row r="132" spans="1:28" ht="13.5" x14ac:dyDescent="0.25">
      <c r="A132" s="160" t="str">
        <f t="array" ref="A132">IFERROR(INDEX('Espesor Techo'!A24:A73, SMALL(IF('Espesor Techo'!J24:J73&gt;=0.2, ROW('Espesor E2'!J24:J73)-ROW('Espesor Techo'!A24)+1), ROW(16:16))), "N/A")</f>
        <v>N/A</v>
      </c>
      <c r="B132" s="72" t="e">
        <f>VLOOKUP($A132,'Espesor Techo'!$A$9:$J$58,2,FALSE)</f>
        <v>#N/A</v>
      </c>
      <c r="C132" s="72" t="e">
        <f>VLOOKUP($A132,'Espesor Techo'!$A$9:$J$58,3,FALSE)</f>
        <v>#N/A</v>
      </c>
      <c r="D132" s="32" t="e">
        <f>VLOOKUP($A132,'Espesor Techo'!$A$9:$J$58,4,FALSE)</f>
        <v>#N/A</v>
      </c>
      <c r="E132" s="32" t="e">
        <f>VLOOKUP($A132,'Espesor Techo'!$A$9:$J$58,5,FALSE)</f>
        <v>#N/A</v>
      </c>
      <c r="F132" s="32" t="e">
        <f>VLOOKUP($A132,'Espesor Techo'!$A$9:$J$58,6,FALSE)</f>
        <v>#N/A</v>
      </c>
      <c r="G132" s="32" t="e">
        <f>VLOOKUP($A132,'Espesor Techo'!$A$9:$J$58,7,FALSE)</f>
        <v>#N/A</v>
      </c>
      <c r="H132" s="32" t="e">
        <f t="shared" si="90"/>
        <v>#N/A</v>
      </c>
      <c r="I132" s="4" t="s">
        <v>52</v>
      </c>
      <c r="J132" s="33" t="e">
        <f t="shared" si="91"/>
        <v>#N/A</v>
      </c>
      <c r="K132" s="34" t="e">
        <f>VLOOKUP($A132,'Espesor Techo'!$A$9:$J$58,10,FALSE)</f>
        <v>#N/A</v>
      </c>
      <c r="L132" s="34">
        <v>0.05</v>
      </c>
      <c r="M132" s="33" t="e">
        <f t="shared" si="92"/>
        <v>#N/A</v>
      </c>
      <c r="N132" s="33" t="e">
        <f t="shared" si="93"/>
        <v>#N/A</v>
      </c>
      <c r="O132" s="33" t="e">
        <f t="shared" si="94"/>
        <v>#N/A</v>
      </c>
      <c r="P132" s="33" t="e">
        <f t="shared" si="95"/>
        <v>#N/A</v>
      </c>
      <c r="Q132" s="33" t="e">
        <f t="shared" si="96"/>
        <v>#N/A</v>
      </c>
      <c r="R132" s="33" t="e">
        <f t="shared" si="97"/>
        <v>#N/A</v>
      </c>
      <c r="S132" s="35" t="e">
        <f t="shared" si="98"/>
        <v>#N/A</v>
      </c>
      <c r="T132" s="36">
        <f t="shared" si="99"/>
        <v>857500</v>
      </c>
      <c r="U132" s="36">
        <f t="shared" si="100"/>
        <v>857500</v>
      </c>
      <c r="V132" s="33" t="e">
        <f t="shared" si="101"/>
        <v>#N/A</v>
      </c>
      <c r="W132" s="33" t="e">
        <f t="shared" si="102"/>
        <v>#N/A</v>
      </c>
      <c r="X132" s="50" t="e">
        <f t="shared" si="103"/>
        <v>#N/A</v>
      </c>
      <c r="Y132" s="50" t="e">
        <f t="shared" si="104"/>
        <v>#N/A</v>
      </c>
      <c r="Z132" s="36" t="e">
        <f t="shared" si="105"/>
        <v>#N/A</v>
      </c>
      <c r="AA132" s="15" t="e">
        <f t="shared" si="106"/>
        <v>#N/A</v>
      </c>
      <c r="AB132" s="33" t="e">
        <f t="shared" si="107"/>
        <v>#N/A</v>
      </c>
    </row>
    <row r="133" spans="1:28" ht="13.5" x14ac:dyDescent="0.25">
      <c r="A133" s="160" t="str">
        <f t="array" ref="A133">IFERROR(INDEX('Espesor Techo'!A25:A74, SMALL(IF('Espesor Techo'!J25:J74&gt;=0.2, ROW('Espesor E2'!J25:J74)-ROW('Espesor Techo'!A25)+1), ROW(17:17))), "N/A")</f>
        <v>N/A</v>
      </c>
      <c r="B133" s="72" t="e">
        <f>VLOOKUP($A133,'Espesor Techo'!$A$9:$J$58,2,FALSE)</f>
        <v>#N/A</v>
      </c>
      <c r="C133" s="72" t="e">
        <f>VLOOKUP($A133,'Espesor Techo'!$A$9:$J$58,3,FALSE)</f>
        <v>#N/A</v>
      </c>
      <c r="D133" s="32" t="e">
        <f>VLOOKUP($A133,'Espesor Techo'!$A$9:$J$58,4,FALSE)</f>
        <v>#N/A</v>
      </c>
      <c r="E133" s="32" t="e">
        <f>VLOOKUP($A133,'Espesor Techo'!$A$9:$J$58,5,FALSE)</f>
        <v>#N/A</v>
      </c>
      <c r="F133" s="32" t="e">
        <f>VLOOKUP($A133,'Espesor Techo'!$A$9:$J$58,6,FALSE)</f>
        <v>#N/A</v>
      </c>
      <c r="G133" s="32" t="e">
        <f>VLOOKUP($A133,'Espesor Techo'!$A$9:$J$58,7,FALSE)</f>
        <v>#N/A</v>
      </c>
      <c r="H133" s="32" t="e">
        <f t="shared" si="90"/>
        <v>#N/A</v>
      </c>
      <c r="I133" s="4" t="s">
        <v>52</v>
      </c>
      <c r="J133" s="33" t="e">
        <f t="shared" si="91"/>
        <v>#N/A</v>
      </c>
      <c r="K133" s="34" t="e">
        <f>VLOOKUP($A133,'Espesor Techo'!$A$9:$J$58,10,FALSE)</f>
        <v>#N/A</v>
      </c>
      <c r="L133" s="34">
        <v>0.05</v>
      </c>
      <c r="M133" s="33" t="e">
        <f t="shared" si="92"/>
        <v>#N/A</v>
      </c>
      <c r="N133" s="33" t="e">
        <f t="shared" si="93"/>
        <v>#N/A</v>
      </c>
      <c r="O133" s="33" t="e">
        <f t="shared" si="94"/>
        <v>#N/A</v>
      </c>
      <c r="P133" s="33" t="e">
        <f t="shared" si="95"/>
        <v>#N/A</v>
      </c>
      <c r="Q133" s="33" t="e">
        <f t="shared" si="96"/>
        <v>#N/A</v>
      </c>
      <c r="R133" s="33" t="e">
        <f t="shared" si="97"/>
        <v>#N/A</v>
      </c>
      <c r="S133" s="35" t="e">
        <f t="shared" si="98"/>
        <v>#N/A</v>
      </c>
      <c r="T133" s="36">
        <f t="shared" si="99"/>
        <v>857500</v>
      </c>
      <c r="U133" s="36">
        <f t="shared" si="100"/>
        <v>857500</v>
      </c>
      <c r="V133" s="33" t="e">
        <f t="shared" si="101"/>
        <v>#N/A</v>
      </c>
      <c r="W133" s="33" t="e">
        <f t="shared" si="102"/>
        <v>#N/A</v>
      </c>
      <c r="X133" s="50" t="e">
        <f t="shared" si="103"/>
        <v>#N/A</v>
      </c>
      <c r="Y133" s="50" t="e">
        <f t="shared" si="104"/>
        <v>#N/A</v>
      </c>
      <c r="Z133" s="36" t="e">
        <f t="shared" si="105"/>
        <v>#N/A</v>
      </c>
      <c r="AA133" s="15" t="e">
        <f t="shared" si="106"/>
        <v>#N/A</v>
      </c>
      <c r="AB133" s="33" t="e">
        <f t="shared" si="107"/>
        <v>#N/A</v>
      </c>
    </row>
    <row r="134" spans="1:28" ht="13.5" x14ac:dyDescent="0.25">
      <c r="A134" s="160" t="str">
        <f t="array" ref="A134">IFERROR(INDEX('Espesor Techo'!A26:A75, SMALL(IF('Espesor Techo'!J26:J75&gt;=0.2, ROW('Espesor E2'!J26:J75)-ROW('Espesor Techo'!A26)+1), ROW(18:18))), "N/A")</f>
        <v>N/A</v>
      </c>
      <c r="B134" s="72" t="e">
        <f>VLOOKUP($A134,'Espesor Techo'!$A$9:$J$58,2,FALSE)</f>
        <v>#N/A</v>
      </c>
      <c r="C134" s="72" t="e">
        <f>VLOOKUP($A134,'Espesor Techo'!$A$9:$J$58,3,FALSE)</f>
        <v>#N/A</v>
      </c>
      <c r="D134" s="32" t="e">
        <f>VLOOKUP($A134,'Espesor Techo'!$A$9:$J$58,4,FALSE)</f>
        <v>#N/A</v>
      </c>
      <c r="E134" s="32" t="e">
        <f>VLOOKUP($A134,'Espesor Techo'!$A$9:$J$58,5,FALSE)</f>
        <v>#N/A</v>
      </c>
      <c r="F134" s="32" t="e">
        <f>VLOOKUP($A134,'Espesor Techo'!$A$9:$J$58,6,FALSE)</f>
        <v>#N/A</v>
      </c>
      <c r="G134" s="32" t="e">
        <f>VLOOKUP($A134,'Espesor Techo'!$A$9:$J$58,7,FALSE)</f>
        <v>#N/A</v>
      </c>
      <c r="H134" s="32" t="e">
        <f t="shared" si="90"/>
        <v>#N/A</v>
      </c>
      <c r="I134" s="4" t="s">
        <v>52</v>
      </c>
      <c r="J134" s="33" t="e">
        <f t="shared" si="91"/>
        <v>#N/A</v>
      </c>
      <c r="K134" s="34" t="e">
        <f>VLOOKUP($A134,'Espesor Techo'!$A$9:$J$58,10,FALSE)</f>
        <v>#N/A</v>
      </c>
      <c r="L134" s="34">
        <v>0.05</v>
      </c>
      <c r="M134" s="33" t="e">
        <f t="shared" si="92"/>
        <v>#N/A</v>
      </c>
      <c r="N134" s="33" t="e">
        <f t="shared" si="93"/>
        <v>#N/A</v>
      </c>
      <c r="O134" s="33" t="e">
        <f t="shared" si="94"/>
        <v>#N/A</v>
      </c>
      <c r="P134" s="33" t="e">
        <f t="shared" si="95"/>
        <v>#N/A</v>
      </c>
      <c r="Q134" s="33" t="e">
        <f t="shared" si="96"/>
        <v>#N/A</v>
      </c>
      <c r="R134" s="33" t="e">
        <f t="shared" si="97"/>
        <v>#N/A</v>
      </c>
      <c r="S134" s="35" t="e">
        <f t="shared" si="98"/>
        <v>#N/A</v>
      </c>
      <c r="T134" s="36">
        <f t="shared" si="99"/>
        <v>857500</v>
      </c>
      <c r="U134" s="36">
        <f t="shared" si="100"/>
        <v>857500</v>
      </c>
      <c r="V134" s="33" t="e">
        <f t="shared" si="101"/>
        <v>#N/A</v>
      </c>
      <c r="W134" s="33" t="e">
        <f t="shared" si="102"/>
        <v>#N/A</v>
      </c>
      <c r="X134" s="50" t="e">
        <f t="shared" si="103"/>
        <v>#N/A</v>
      </c>
      <c r="Y134" s="50" t="e">
        <f t="shared" si="104"/>
        <v>#N/A</v>
      </c>
      <c r="Z134" s="36" t="e">
        <f t="shared" si="105"/>
        <v>#N/A</v>
      </c>
      <c r="AA134" s="15" t="e">
        <f t="shared" si="106"/>
        <v>#N/A</v>
      </c>
      <c r="AB134" s="33" t="e">
        <f t="shared" si="107"/>
        <v>#N/A</v>
      </c>
    </row>
    <row r="135" spans="1:28" ht="13.5" x14ac:dyDescent="0.25">
      <c r="A135" s="160" t="str">
        <f t="array" ref="A135">IFERROR(INDEX('Espesor Techo'!A27:A76, SMALL(IF('Espesor Techo'!J27:J76&gt;=0.2, ROW('Espesor E2'!J27:J76)-ROW('Espesor Techo'!A27)+1), ROW(19:19))), "N/A")</f>
        <v>N/A</v>
      </c>
      <c r="B135" s="72" t="e">
        <f>VLOOKUP($A135,'Espesor Techo'!$A$9:$J$58,2,FALSE)</f>
        <v>#N/A</v>
      </c>
      <c r="C135" s="72" t="e">
        <f>VLOOKUP($A135,'Espesor Techo'!$A$9:$J$58,3,FALSE)</f>
        <v>#N/A</v>
      </c>
      <c r="D135" s="32" t="e">
        <f>VLOOKUP($A135,'Espesor Techo'!$A$9:$J$58,4,FALSE)</f>
        <v>#N/A</v>
      </c>
      <c r="E135" s="32" t="e">
        <f>VLOOKUP($A135,'Espesor Techo'!$A$9:$J$58,5,FALSE)</f>
        <v>#N/A</v>
      </c>
      <c r="F135" s="32" t="e">
        <f>VLOOKUP($A135,'Espesor Techo'!$A$9:$J$58,6,FALSE)</f>
        <v>#N/A</v>
      </c>
      <c r="G135" s="32" t="e">
        <f>VLOOKUP($A135,'Espesor Techo'!$A$9:$J$58,7,FALSE)</f>
        <v>#N/A</v>
      </c>
      <c r="H135" s="32" t="e">
        <f t="shared" si="90"/>
        <v>#N/A</v>
      </c>
      <c r="I135" s="4" t="s">
        <v>52</v>
      </c>
      <c r="J135" s="33" t="e">
        <f t="shared" si="91"/>
        <v>#N/A</v>
      </c>
      <c r="K135" s="34" t="e">
        <f>VLOOKUP($A135,'Espesor Techo'!$A$9:$J$58,10,FALSE)</f>
        <v>#N/A</v>
      </c>
      <c r="L135" s="34">
        <v>0.05</v>
      </c>
      <c r="M135" s="33" t="e">
        <f t="shared" si="92"/>
        <v>#N/A</v>
      </c>
      <c r="N135" s="33" t="e">
        <f t="shared" si="93"/>
        <v>#N/A</v>
      </c>
      <c r="O135" s="33" t="e">
        <f t="shared" si="94"/>
        <v>#N/A</v>
      </c>
      <c r="P135" s="33" t="e">
        <f t="shared" si="95"/>
        <v>#N/A</v>
      </c>
      <c r="Q135" s="33" t="e">
        <f t="shared" si="96"/>
        <v>#N/A</v>
      </c>
      <c r="R135" s="33" t="e">
        <f t="shared" si="97"/>
        <v>#N/A</v>
      </c>
      <c r="S135" s="35" t="e">
        <f t="shared" si="98"/>
        <v>#N/A</v>
      </c>
      <c r="T135" s="36">
        <f t="shared" si="99"/>
        <v>857500</v>
      </c>
      <c r="U135" s="36">
        <f t="shared" si="100"/>
        <v>857500</v>
      </c>
      <c r="V135" s="33" t="e">
        <f t="shared" si="101"/>
        <v>#N/A</v>
      </c>
      <c r="W135" s="33" t="e">
        <f t="shared" si="102"/>
        <v>#N/A</v>
      </c>
      <c r="X135" s="50" t="e">
        <f t="shared" si="103"/>
        <v>#N/A</v>
      </c>
      <c r="Y135" s="50" t="e">
        <f t="shared" si="104"/>
        <v>#N/A</v>
      </c>
      <c r="Z135" s="36" t="e">
        <f t="shared" si="105"/>
        <v>#N/A</v>
      </c>
      <c r="AA135" s="15" t="e">
        <f t="shared" si="106"/>
        <v>#N/A</v>
      </c>
      <c r="AB135" s="33" t="e">
        <f t="shared" si="107"/>
        <v>#N/A</v>
      </c>
    </row>
    <row r="136" spans="1:28" ht="13.5" x14ac:dyDescent="0.25">
      <c r="A136" s="160" t="str">
        <f t="array" ref="A136">IFERROR(INDEX('Espesor Techo'!A28:A77, SMALL(IF('Espesor Techo'!J28:J77&gt;=0.2, ROW('Espesor E2'!J28:J77)-ROW('Espesor Techo'!A28)+1), ROW(20:20))), "N/A")</f>
        <v>N/A</v>
      </c>
      <c r="B136" s="72" t="e">
        <f>VLOOKUP($A136,'Espesor Techo'!$A$9:$J$58,2,FALSE)</f>
        <v>#N/A</v>
      </c>
      <c r="C136" s="72" t="e">
        <f>VLOOKUP($A136,'Espesor Techo'!$A$9:$J$58,3,FALSE)</f>
        <v>#N/A</v>
      </c>
      <c r="D136" s="32" t="e">
        <f>VLOOKUP($A136,'Espesor Techo'!$A$9:$J$58,4,FALSE)</f>
        <v>#N/A</v>
      </c>
      <c r="E136" s="32" t="e">
        <f>VLOOKUP($A136,'Espesor Techo'!$A$9:$J$58,5,FALSE)</f>
        <v>#N/A</v>
      </c>
      <c r="F136" s="32" t="e">
        <f>VLOOKUP($A136,'Espesor Techo'!$A$9:$J$58,6,FALSE)</f>
        <v>#N/A</v>
      </c>
      <c r="G136" s="32" t="e">
        <f>VLOOKUP($A136,'Espesor Techo'!$A$9:$J$58,7,FALSE)</f>
        <v>#N/A</v>
      </c>
      <c r="H136" s="32" t="e">
        <f t="shared" si="90"/>
        <v>#N/A</v>
      </c>
      <c r="I136" s="4" t="s">
        <v>52</v>
      </c>
      <c r="J136" s="33" t="e">
        <f t="shared" si="91"/>
        <v>#N/A</v>
      </c>
      <c r="K136" s="34" t="e">
        <f>VLOOKUP($A136,'Espesor Techo'!$A$9:$J$58,10,FALSE)</f>
        <v>#N/A</v>
      </c>
      <c r="L136" s="34">
        <v>0.05</v>
      </c>
      <c r="M136" s="33" t="e">
        <f t="shared" si="92"/>
        <v>#N/A</v>
      </c>
      <c r="N136" s="33" t="e">
        <f t="shared" si="93"/>
        <v>#N/A</v>
      </c>
      <c r="O136" s="33" t="e">
        <f t="shared" si="94"/>
        <v>#N/A</v>
      </c>
      <c r="P136" s="33" t="e">
        <f t="shared" si="95"/>
        <v>#N/A</v>
      </c>
      <c r="Q136" s="33" t="e">
        <f t="shared" si="96"/>
        <v>#N/A</v>
      </c>
      <c r="R136" s="33" t="e">
        <f t="shared" si="97"/>
        <v>#N/A</v>
      </c>
      <c r="S136" s="35" t="e">
        <f t="shared" si="98"/>
        <v>#N/A</v>
      </c>
      <c r="T136" s="36">
        <f t="shared" si="99"/>
        <v>857500</v>
      </c>
      <c r="U136" s="36">
        <f t="shared" si="100"/>
        <v>857500</v>
      </c>
      <c r="V136" s="33" t="e">
        <f t="shared" si="101"/>
        <v>#N/A</v>
      </c>
      <c r="W136" s="33" t="e">
        <f t="shared" si="102"/>
        <v>#N/A</v>
      </c>
      <c r="X136" s="50" t="e">
        <f t="shared" si="103"/>
        <v>#N/A</v>
      </c>
      <c r="Y136" s="50" t="e">
        <f t="shared" si="104"/>
        <v>#N/A</v>
      </c>
      <c r="Z136" s="36" t="e">
        <f t="shared" si="105"/>
        <v>#N/A</v>
      </c>
      <c r="AA136" s="15" t="e">
        <f t="shared" si="106"/>
        <v>#N/A</v>
      </c>
      <c r="AB136" s="33" t="e">
        <f t="shared" si="107"/>
        <v>#N/A</v>
      </c>
    </row>
    <row r="139" spans="1:28" ht="13.5" thickBot="1" x14ac:dyDescent="0.25">
      <c r="B139" s="3" t="s">
        <v>89</v>
      </c>
    </row>
    <row r="140" spans="1:28" ht="13.5" thickBot="1" x14ac:dyDescent="0.25">
      <c r="A140" s="178" t="s">
        <v>44</v>
      </c>
      <c r="B140" s="177" t="s">
        <v>90</v>
      </c>
      <c r="C140" s="175"/>
      <c r="D140" s="175"/>
      <c r="E140" s="175"/>
      <c r="F140" s="175"/>
      <c r="G140" s="175"/>
      <c r="H140" s="176"/>
      <c r="I140" s="174" t="s">
        <v>91</v>
      </c>
      <c r="J140" s="175"/>
      <c r="K140" s="175"/>
      <c r="L140" s="175"/>
      <c r="M140" s="175"/>
      <c r="N140" s="175"/>
      <c r="O140" s="176"/>
    </row>
    <row r="141" spans="1:28" ht="16.5" thickBot="1" x14ac:dyDescent="0.3">
      <c r="A141" s="179"/>
      <c r="B141" s="42" t="s">
        <v>92</v>
      </c>
      <c r="C141" s="43" t="s">
        <v>93</v>
      </c>
      <c r="D141" s="44" t="s">
        <v>62</v>
      </c>
      <c r="E141" s="45" t="s">
        <v>63</v>
      </c>
      <c r="F141" s="46" t="s">
        <v>64</v>
      </c>
      <c r="G141" s="47" t="s">
        <v>65</v>
      </c>
      <c r="H141" s="48" t="s">
        <v>66</v>
      </c>
      <c r="I141" s="43" t="s">
        <v>92</v>
      </c>
      <c r="J141" s="43" t="s">
        <v>94</v>
      </c>
      <c r="K141" s="44" t="s">
        <v>62</v>
      </c>
      <c r="L141" s="45" t="s">
        <v>63</v>
      </c>
      <c r="M141" s="46" t="s">
        <v>64</v>
      </c>
      <c r="N141" s="47" t="s">
        <v>65</v>
      </c>
      <c r="O141" s="48" t="s">
        <v>66</v>
      </c>
      <c r="Q141" s="166" t="str">
        <f ca="1">'Espesor Earlette'!AB2</f>
        <v xml:space="preserve"> Earlette</v>
      </c>
      <c r="R141" s="167"/>
      <c r="S141" s="167"/>
      <c r="T141" s="167"/>
      <c r="U141" s="168"/>
    </row>
    <row r="142" spans="1:28" ht="16.5" thickBot="1" x14ac:dyDescent="0.3">
      <c r="A142" s="172" t="str">
        <f ca="1">REPT('Espesor Earlette'!AC2,32)</f>
        <v xml:space="preserve">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 Earlette /</v>
      </c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73"/>
      <c r="Q142" s="101" t="s">
        <v>61</v>
      </c>
      <c r="R142" s="102" t="s">
        <v>122</v>
      </c>
      <c r="S142" s="102" t="s">
        <v>123</v>
      </c>
      <c r="T142" s="102" t="s">
        <v>124</v>
      </c>
      <c r="U142" s="103" t="s">
        <v>125</v>
      </c>
    </row>
    <row r="143" spans="1:28" ht="15" x14ac:dyDescent="0.25">
      <c r="A143" s="41">
        <f t="shared" ref="A143:A162" si="108">A12</f>
        <v>6</v>
      </c>
      <c r="B143" s="105">
        <v>5</v>
      </c>
      <c r="C143" s="106">
        <f>IF((VLOOKUP(A143,$A$12:$D$31,4,FALSE))="2D",(IF(B12&gt;C12,B143*($L$3+$L$5),B143*($L$3+$L$4))),((IF(B12&gt;C12,B143*($L$3+$L$5),B143*($L$3+$L$4)))))</f>
        <v>3.25</v>
      </c>
      <c r="D143" s="107">
        <f>(E143*5.07+F143*2.85+G143*1.27+H143*0.71)</f>
        <v>3.81</v>
      </c>
      <c r="E143" s="110">
        <v>0</v>
      </c>
      <c r="F143" s="110">
        <v>0</v>
      </c>
      <c r="G143" s="110">
        <v>3</v>
      </c>
      <c r="H143" s="110">
        <v>0</v>
      </c>
      <c r="I143" s="105">
        <v>2</v>
      </c>
      <c r="J143" s="106">
        <f>IF((VLOOKUP(A143,$A$12:$D$31,4,FALSE))="2D",(IF(B12&lt;C12,I143*($L$3+$L$5),I143*($L$3+$L$4))),((IF(B12&lt;C12,I143*($L$3+$L$5),I143*($L$3+$L$4)))))</f>
        <v>1.3</v>
      </c>
      <c r="K143" s="107">
        <f>(L143*5.07+M143*2.85+N143*1.27+O143*0.71)</f>
        <v>3.81</v>
      </c>
      <c r="L143" s="110">
        <v>0</v>
      </c>
      <c r="M143" s="110">
        <v>0</v>
      </c>
      <c r="N143" s="110">
        <v>3</v>
      </c>
      <c r="O143" s="111">
        <v>0</v>
      </c>
      <c r="Q143" s="100">
        <f>A143</f>
        <v>6</v>
      </c>
      <c r="R143" s="159">
        <f>IF(D12="2D",G143,IF(B12=(MIN(B12:C12)),G143,0))</f>
        <v>3</v>
      </c>
      <c r="S143" s="159">
        <f>IF(D12="2D",N143,IF(C12=(MIN(B12:C12)),N143,0))</f>
        <v>3</v>
      </c>
      <c r="T143" s="95">
        <f>K12-L12</f>
        <v>0.15000000000000002</v>
      </c>
      <c r="U143" s="95">
        <f>L12</f>
        <v>0.05</v>
      </c>
    </row>
    <row r="144" spans="1:28" ht="15" x14ac:dyDescent="0.25">
      <c r="A144" s="41">
        <f t="shared" si="108"/>
        <v>7</v>
      </c>
      <c r="B144" s="108">
        <v>5</v>
      </c>
      <c r="C144" s="37">
        <f t="shared" ref="C144:C162" si="109">IF((VLOOKUP(A144,$A$12:$D$31,4,FALSE))="2D",(IF(B13&gt;C13,B144*($L$3+$L$5),B144*($L$3+$L$4))),((IF(B13&gt;C13,B144*($L$3+$L$5),B144*($L$3+$L$4)))))</f>
        <v>3.25</v>
      </c>
      <c r="D144" s="77">
        <f t="shared" ref="D144:D162" si="110">(E144*5.07+F144*2.85+G144*1.27+H144*0.71)</f>
        <v>3.81</v>
      </c>
      <c r="E144" s="39">
        <v>0</v>
      </c>
      <c r="F144" s="39">
        <v>0</v>
      </c>
      <c r="G144" s="39">
        <v>3</v>
      </c>
      <c r="H144" s="39">
        <v>0</v>
      </c>
      <c r="I144" s="108">
        <v>4.5</v>
      </c>
      <c r="J144" s="37">
        <f t="shared" ref="J144:J162" si="111">IF((VLOOKUP(A144,$A$12:$D$31,4,FALSE))="2D",(IF(B13&lt;C13,I144*($L$3+$L$5),I144*($L$3+$L$4))),((IF(B13&lt;C13,I144*($L$3+$L$5),I144*($L$3+$L$4)))))</f>
        <v>2.9250000000000003</v>
      </c>
      <c r="K144" s="77">
        <f t="shared" ref="K144:K162" si="112">(L144*5.07+M144*2.85+N144*1.27+O144*0.71)</f>
        <v>3.81</v>
      </c>
      <c r="L144" s="39">
        <v>0</v>
      </c>
      <c r="M144" s="39">
        <v>0</v>
      </c>
      <c r="N144" s="39">
        <v>3</v>
      </c>
      <c r="O144" s="40">
        <v>0</v>
      </c>
      <c r="Q144" s="99">
        <f t="shared" ref="Q144:Q162" si="113">A144</f>
        <v>7</v>
      </c>
      <c r="R144" s="159">
        <f t="shared" ref="R144:R162" si="114">IF(D13="2D",G144,IF(B13=(MIN(B13:C13)),G144,0))</f>
        <v>3</v>
      </c>
      <c r="S144" s="159">
        <f t="shared" ref="S144:S162" si="115">IF(D13="2D",N144,IF(C13=(MIN(B13:C13)),N144,0))</f>
        <v>3</v>
      </c>
      <c r="T144" s="95">
        <f t="shared" ref="T144:T162" si="116">K13-L13</f>
        <v>0.11</v>
      </c>
      <c r="U144" s="95">
        <f t="shared" ref="U144:U162" si="117">L13</f>
        <v>0.05</v>
      </c>
    </row>
    <row r="145" spans="1:21" ht="15" x14ac:dyDescent="0.25">
      <c r="A145" s="41" t="str">
        <f t="shared" si="108"/>
        <v/>
      </c>
      <c r="B145" s="108">
        <v>6</v>
      </c>
      <c r="C145" s="37" t="e">
        <f t="shared" si="109"/>
        <v>#N/A</v>
      </c>
      <c r="D145" s="77">
        <f t="shared" si="110"/>
        <v>0</v>
      </c>
      <c r="E145" s="39">
        <v>0</v>
      </c>
      <c r="F145" s="39">
        <v>0</v>
      </c>
      <c r="G145" s="39">
        <v>0</v>
      </c>
      <c r="H145" s="39">
        <v>0</v>
      </c>
      <c r="I145" s="108">
        <v>1</v>
      </c>
      <c r="J145" s="37" t="e">
        <f t="shared" si="111"/>
        <v>#N/A</v>
      </c>
      <c r="K145" s="77">
        <f t="shared" si="112"/>
        <v>0</v>
      </c>
      <c r="L145" s="39">
        <v>0</v>
      </c>
      <c r="M145" s="39">
        <v>0</v>
      </c>
      <c r="N145" s="39">
        <v>0</v>
      </c>
      <c r="O145" s="40">
        <v>0</v>
      </c>
      <c r="Q145" s="99" t="str">
        <f t="shared" si="113"/>
        <v/>
      </c>
      <c r="R145" s="159" t="e">
        <f t="shared" si="114"/>
        <v>#N/A</v>
      </c>
      <c r="S145" s="159" t="e">
        <f t="shared" si="115"/>
        <v>#N/A</v>
      </c>
      <c r="T145" s="95" t="e">
        <f t="shared" si="116"/>
        <v>#N/A</v>
      </c>
      <c r="U145" s="95">
        <f t="shared" si="117"/>
        <v>0.05</v>
      </c>
    </row>
    <row r="146" spans="1:21" ht="15" x14ac:dyDescent="0.25">
      <c r="A146" s="41" t="str">
        <f t="shared" si="108"/>
        <v/>
      </c>
      <c r="B146" s="108">
        <v>1</v>
      </c>
      <c r="C146" s="37" t="e">
        <f t="shared" si="109"/>
        <v>#N/A</v>
      </c>
      <c r="D146" s="77">
        <f t="shared" si="110"/>
        <v>0</v>
      </c>
      <c r="E146" s="39">
        <v>0</v>
      </c>
      <c r="F146" s="39">
        <v>0</v>
      </c>
      <c r="G146" s="39">
        <v>0</v>
      </c>
      <c r="H146" s="39">
        <v>0</v>
      </c>
      <c r="I146" s="108">
        <v>1</v>
      </c>
      <c r="J146" s="37" t="e">
        <f t="shared" si="111"/>
        <v>#N/A</v>
      </c>
      <c r="K146" s="77">
        <f t="shared" si="112"/>
        <v>0</v>
      </c>
      <c r="L146" s="39">
        <v>0</v>
      </c>
      <c r="M146" s="39">
        <v>0</v>
      </c>
      <c r="N146" s="39">
        <v>0</v>
      </c>
      <c r="O146" s="40">
        <v>0</v>
      </c>
      <c r="Q146" s="99" t="str">
        <f t="shared" si="113"/>
        <v/>
      </c>
      <c r="R146" s="159" t="e">
        <f t="shared" si="114"/>
        <v>#N/A</v>
      </c>
      <c r="S146" s="159" t="e">
        <f t="shared" si="115"/>
        <v>#N/A</v>
      </c>
      <c r="T146" s="95" t="e">
        <f t="shared" si="116"/>
        <v>#N/A</v>
      </c>
      <c r="U146" s="95">
        <f t="shared" si="117"/>
        <v>0.05</v>
      </c>
    </row>
    <row r="147" spans="1:21" ht="15" x14ac:dyDescent="0.25">
      <c r="A147" s="41" t="str">
        <f t="shared" si="108"/>
        <v/>
      </c>
      <c r="B147" s="108">
        <v>1</v>
      </c>
      <c r="C147" s="37" t="e">
        <f t="shared" si="109"/>
        <v>#N/A</v>
      </c>
      <c r="D147" s="77">
        <f t="shared" si="110"/>
        <v>0</v>
      </c>
      <c r="E147" s="39">
        <v>0</v>
      </c>
      <c r="F147" s="39">
        <v>0</v>
      </c>
      <c r="G147" s="39">
        <v>0</v>
      </c>
      <c r="H147" s="39">
        <v>0</v>
      </c>
      <c r="I147" s="108">
        <v>1</v>
      </c>
      <c r="J147" s="37" t="e">
        <f t="shared" si="111"/>
        <v>#N/A</v>
      </c>
      <c r="K147" s="77">
        <f t="shared" si="112"/>
        <v>0</v>
      </c>
      <c r="L147" s="39">
        <v>0</v>
      </c>
      <c r="M147" s="39">
        <v>0</v>
      </c>
      <c r="N147" s="39">
        <v>0</v>
      </c>
      <c r="O147" s="40">
        <v>0</v>
      </c>
      <c r="Q147" s="99" t="str">
        <f t="shared" si="113"/>
        <v/>
      </c>
      <c r="R147" s="159" t="e">
        <f t="shared" si="114"/>
        <v>#N/A</v>
      </c>
      <c r="S147" s="159" t="e">
        <f t="shared" si="115"/>
        <v>#N/A</v>
      </c>
      <c r="T147" s="95" t="e">
        <f t="shared" si="116"/>
        <v>#N/A</v>
      </c>
      <c r="U147" s="95">
        <f t="shared" si="117"/>
        <v>0.05</v>
      </c>
    </row>
    <row r="148" spans="1:21" ht="15" x14ac:dyDescent="0.25">
      <c r="A148" s="41" t="str">
        <f t="shared" si="108"/>
        <v/>
      </c>
      <c r="B148" s="108">
        <v>1</v>
      </c>
      <c r="C148" s="37" t="e">
        <f t="shared" si="109"/>
        <v>#N/A</v>
      </c>
      <c r="D148" s="77">
        <f t="shared" si="110"/>
        <v>0</v>
      </c>
      <c r="E148" s="39">
        <v>0</v>
      </c>
      <c r="F148" s="39">
        <v>0</v>
      </c>
      <c r="G148" s="39">
        <v>0</v>
      </c>
      <c r="H148" s="39">
        <v>0</v>
      </c>
      <c r="I148" s="108">
        <v>1</v>
      </c>
      <c r="J148" s="37" t="e">
        <f t="shared" si="111"/>
        <v>#N/A</v>
      </c>
      <c r="K148" s="77">
        <f t="shared" si="112"/>
        <v>0</v>
      </c>
      <c r="L148" s="39">
        <v>0</v>
      </c>
      <c r="M148" s="39">
        <v>0</v>
      </c>
      <c r="N148" s="39">
        <v>0</v>
      </c>
      <c r="O148" s="40">
        <v>0</v>
      </c>
      <c r="Q148" s="99" t="str">
        <f t="shared" si="113"/>
        <v/>
      </c>
      <c r="R148" s="159" t="e">
        <f t="shared" si="114"/>
        <v>#N/A</v>
      </c>
      <c r="S148" s="159" t="e">
        <f t="shared" si="115"/>
        <v>#N/A</v>
      </c>
      <c r="T148" s="95" t="e">
        <f t="shared" si="116"/>
        <v>#N/A</v>
      </c>
      <c r="U148" s="95">
        <f t="shared" si="117"/>
        <v>0.05</v>
      </c>
    </row>
    <row r="149" spans="1:21" ht="15" x14ac:dyDescent="0.25">
      <c r="A149" s="41" t="str">
        <f t="shared" si="108"/>
        <v/>
      </c>
      <c r="B149" s="108">
        <v>1</v>
      </c>
      <c r="C149" s="37" t="e">
        <f t="shared" si="109"/>
        <v>#N/A</v>
      </c>
      <c r="D149" s="77">
        <f t="shared" si="110"/>
        <v>0</v>
      </c>
      <c r="E149" s="39">
        <v>0</v>
      </c>
      <c r="F149" s="39">
        <v>0</v>
      </c>
      <c r="G149" s="39">
        <v>0</v>
      </c>
      <c r="H149" s="39">
        <v>0</v>
      </c>
      <c r="I149" s="108">
        <v>1</v>
      </c>
      <c r="J149" s="37" t="e">
        <f t="shared" si="111"/>
        <v>#N/A</v>
      </c>
      <c r="K149" s="77">
        <f t="shared" si="112"/>
        <v>0</v>
      </c>
      <c r="L149" s="39">
        <v>0</v>
      </c>
      <c r="M149" s="39">
        <v>0</v>
      </c>
      <c r="N149" s="39">
        <v>0</v>
      </c>
      <c r="O149" s="40">
        <v>0</v>
      </c>
      <c r="Q149" s="99" t="str">
        <f t="shared" si="113"/>
        <v/>
      </c>
      <c r="R149" s="159" t="e">
        <f t="shared" si="114"/>
        <v>#N/A</v>
      </c>
      <c r="S149" s="159" t="e">
        <f t="shared" si="115"/>
        <v>#N/A</v>
      </c>
      <c r="T149" s="95" t="e">
        <f t="shared" si="116"/>
        <v>#N/A</v>
      </c>
      <c r="U149" s="95">
        <f t="shared" si="117"/>
        <v>0.05</v>
      </c>
    </row>
    <row r="150" spans="1:21" ht="15" x14ac:dyDescent="0.25">
      <c r="A150" s="41" t="str">
        <f t="shared" si="108"/>
        <v/>
      </c>
      <c r="B150" s="108">
        <v>1</v>
      </c>
      <c r="C150" s="37" t="e">
        <f t="shared" si="109"/>
        <v>#N/A</v>
      </c>
      <c r="D150" s="77">
        <f t="shared" si="110"/>
        <v>0</v>
      </c>
      <c r="E150" s="39">
        <v>0</v>
      </c>
      <c r="F150" s="39">
        <v>0</v>
      </c>
      <c r="G150" s="39">
        <v>0</v>
      </c>
      <c r="H150" s="39">
        <v>0</v>
      </c>
      <c r="I150" s="108">
        <v>1</v>
      </c>
      <c r="J150" s="37" t="e">
        <f t="shared" si="111"/>
        <v>#N/A</v>
      </c>
      <c r="K150" s="77">
        <f t="shared" si="112"/>
        <v>0</v>
      </c>
      <c r="L150" s="39">
        <v>0</v>
      </c>
      <c r="M150" s="39">
        <v>0</v>
      </c>
      <c r="N150" s="39">
        <v>0</v>
      </c>
      <c r="O150" s="40">
        <v>0</v>
      </c>
      <c r="Q150" s="99" t="str">
        <f t="shared" si="113"/>
        <v/>
      </c>
      <c r="R150" s="159" t="e">
        <f t="shared" si="114"/>
        <v>#N/A</v>
      </c>
      <c r="S150" s="159" t="e">
        <f t="shared" si="115"/>
        <v>#N/A</v>
      </c>
      <c r="T150" s="95" t="e">
        <f t="shared" si="116"/>
        <v>#N/A</v>
      </c>
      <c r="U150" s="95">
        <f t="shared" si="117"/>
        <v>0.05</v>
      </c>
    </row>
    <row r="151" spans="1:21" ht="15" x14ac:dyDescent="0.25">
      <c r="A151" s="41" t="str">
        <f t="shared" si="108"/>
        <v/>
      </c>
      <c r="B151" s="108">
        <v>1</v>
      </c>
      <c r="C151" s="37" t="e">
        <f t="shared" si="109"/>
        <v>#N/A</v>
      </c>
      <c r="D151" s="77">
        <f t="shared" si="110"/>
        <v>0</v>
      </c>
      <c r="E151" s="39">
        <v>0</v>
      </c>
      <c r="F151" s="39">
        <v>0</v>
      </c>
      <c r="G151" s="39">
        <v>0</v>
      </c>
      <c r="H151" s="39">
        <v>0</v>
      </c>
      <c r="I151" s="108">
        <v>1</v>
      </c>
      <c r="J151" s="37" t="e">
        <f t="shared" si="111"/>
        <v>#N/A</v>
      </c>
      <c r="K151" s="77">
        <f t="shared" si="112"/>
        <v>0</v>
      </c>
      <c r="L151" s="39">
        <v>0</v>
      </c>
      <c r="M151" s="39">
        <v>0</v>
      </c>
      <c r="N151" s="39">
        <v>0</v>
      </c>
      <c r="O151" s="40">
        <v>0</v>
      </c>
      <c r="Q151" s="99" t="str">
        <f t="shared" si="113"/>
        <v/>
      </c>
      <c r="R151" s="159" t="e">
        <f t="shared" si="114"/>
        <v>#N/A</v>
      </c>
      <c r="S151" s="159" t="e">
        <f t="shared" si="115"/>
        <v>#N/A</v>
      </c>
      <c r="T151" s="95" t="e">
        <f t="shared" si="116"/>
        <v>#N/A</v>
      </c>
      <c r="U151" s="95">
        <f t="shared" si="117"/>
        <v>0.05</v>
      </c>
    </row>
    <row r="152" spans="1:21" ht="15" x14ac:dyDescent="0.25">
      <c r="A152" s="41" t="str">
        <f t="shared" si="108"/>
        <v/>
      </c>
      <c r="B152" s="108">
        <v>1</v>
      </c>
      <c r="C152" s="37" t="e">
        <f t="shared" si="109"/>
        <v>#N/A</v>
      </c>
      <c r="D152" s="77">
        <f t="shared" si="110"/>
        <v>0</v>
      </c>
      <c r="E152" s="39">
        <v>0</v>
      </c>
      <c r="F152" s="39">
        <v>0</v>
      </c>
      <c r="G152" s="39">
        <v>0</v>
      </c>
      <c r="H152" s="39">
        <v>0</v>
      </c>
      <c r="I152" s="108">
        <v>1</v>
      </c>
      <c r="J152" s="37" t="e">
        <f t="shared" si="111"/>
        <v>#N/A</v>
      </c>
      <c r="K152" s="77">
        <f t="shared" si="112"/>
        <v>0</v>
      </c>
      <c r="L152" s="39">
        <v>0</v>
      </c>
      <c r="M152" s="39">
        <v>0</v>
      </c>
      <c r="N152" s="39">
        <v>0</v>
      </c>
      <c r="O152" s="40">
        <v>0</v>
      </c>
      <c r="Q152" s="99" t="str">
        <f t="shared" si="113"/>
        <v/>
      </c>
      <c r="R152" s="159" t="e">
        <f t="shared" si="114"/>
        <v>#N/A</v>
      </c>
      <c r="S152" s="159" t="e">
        <f t="shared" si="115"/>
        <v>#N/A</v>
      </c>
      <c r="T152" s="95" t="e">
        <f t="shared" si="116"/>
        <v>#N/A</v>
      </c>
      <c r="U152" s="95">
        <f t="shared" si="117"/>
        <v>0.05</v>
      </c>
    </row>
    <row r="153" spans="1:21" ht="15" x14ac:dyDescent="0.25">
      <c r="A153" s="41" t="str">
        <f t="shared" si="108"/>
        <v/>
      </c>
      <c r="B153" s="108">
        <v>1</v>
      </c>
      <c r="C153" s="37" t="e">
        <f t="shared" si="109"/>
        <v>#N/A</v>
      </c>
      <c r="D153" s="77">
        <f t="shared" si="110"/>
        <v>0</v>
      </c>
      <c r="E153" s="39">
        <v>0</v>
      </c>
      <c r="F153" s="39">
        <v>0</v>
      </c>
      <c r="G153" s="39">
        <v>0</v>
      </c>
      <c r="H153" s="39">
        <v>0</v>
      </c>
      <c r="I153" s="108">
        <v>1</v>
      </c>
      <c r="J153" s="37" t="e">
        <f t="shared" si="111"/>
        <v>#N/A</v>
      </c>
      <c r="K153" s="77">
        <f t="shared" si="112"/>
        <v>0</v>
      </c>
      <c r="L153" s="39">
        <v>0</v>
      </c>
      <c r="M153" s="39">
        <v>0</v>
      </c>
      <c r="N153" s="39">
        <v>0</v>
      </c>
      <c r="O153" s="40">
        <v>0</v>
      </c>
      <c r="Q153" s="99" t="str">
        <f t="shared" si="113"/>
        <v/>
      </c>
      <c r="R153" s="159" t="e">
        <f t="shared" si="114"/>
        <v>#N/A</v>
      </c>
      <c r="S153" s="159" t="e">
        <f t="shared" si="115"/>
        <v>#N/A</v>
      </c>
      <c r="T153" s="95" t="e">
        <f t="shared" si="116"/>
        <v>#N/A</v>
      </c>
      <c r="U153" s="95">
        <f t="shared" si="117"/>
        <v>0.05</v>
      </c>
    </row>
    <row r="154" spans="1:21" ht="15" x14ac:dyDescent="0.25">
      <c r="A154" s="41" t="str">
        <f t="shared" si="108"/>
        <v/>
      </c>
      <c r="B154" s="108">
        <v>1</v>
      </c>
      <c r="C154" s="37" t="e">
        <f t="shared" si="109"/>
        <v>#N/A</v>
      </c>
      <c r="D154" s="77">
        <f t="shared" si="110"/>
        <v>0</v>
      </c>
      <c r="E154" s="39">
        <v>0</v>
      </c>
      <c r="F154" s="39">
        <v>0</v>
      </c>
      <c r="G154" s="39">
        <v>0</v>
      </c>
      <c r="H154" s="39">
        <v>0</v>
      </c>
      <c r="I154" s="108">
        <v>1</v>
      </c>
      <c r="J154" s="37" t="e">
        <f t="shared" si="111"/>
        <v>#N/A</v>
      </c>
      <c r="K154" s="77">
        <f t="shared" si="112"/>
        <v>0</v>
      </c>
      <c r="L154" s="39">
        <v>0</v>
      </c>
      <c r="M154" s="39">
        <v>0</v>
      </c>
      <c r="N154" s="39">
        <v>0</v>
      </c>
      <c r="O154" s="40">
        <v>0</v>
      </c>
      <c r="Q154" s="99" t="str">
        <f t="shared" si="113"/>
        <v/>
      </c>
      <c r="R154" s="159" t="e">
        <f t="shared" si="114"/>
        <v>#N/A</v>
      </c>
      <c r="S154" s="159" t="e">
        <f t="shared" si="115"/>
        <v>#N/A</v>
      </c>
      <c r="T154" s="95" t="e">
        <f t="shared" si="116"/>
        <v>#N/A</v>
      </c>
      <c r="U154" s="95">
        <f t="shared" si="117"/>
        <v>0.05</v>
      </c>
    </row>
    <row r="155" spans="1:21" ht="15" x14ac:dyDescent="0.25">
      <c r="A155" s="41" t="str">
        <f t="shared" si="108"/>
        <v/>
      </c>
      <c r="B155" s="108">
        <v>1</v>
      </c>
      <c r="C155" s="37" t="e">
        <f t="shared" si="109"/>
        <v>#N/A</v>
      </c>
      <c r="D155" s="77">
        <f t="shared" si="110"/>
        <v>0</v>
      </c>
      <c r="E155" s="39">
        <v>0</v>
      </c>
      <c r="F155" s="39">
        <v>0</v>
      </c>
      <c r="G155" s="39">
        <v>0</v>
      </c>
      <c r="H155" s="39">
        <v>0</v>
      </c>
      <c r="I155" s="108">
        <v>1</v>
      </c>
      <c r="J155" s="37" t="e">
        <f t="shared" si="111"/>
        <v>#N/A</v>
      </c>
      <c r="K155" s="77">
        <f t="shared" si="112"/>
        <v>0</v>
      </c>
      <c r="L155" s="39">
        <v>0</v>
      </c>
      <c r="M155" s="39">
        <v>0</v>
      </c>
      <c r="N155" s="39">
        <v>0</v>
      </c>
      <c r="O155" s="40">
        <v>0</v>
      </c>
      <c r="Q155" s="99" t="str">
        <f t="shared" si="113"/>
        <v/>
      </c>
      <c r="R155" s="159" t="e">
        <f t="shared" si="114"/>
        <v>#N/A</v>
      </c>
      <c r="S155" s="159" t="e">
        <f t="shared" si="115"/>
        <v>#N/A</v>
      </c>
      <c r="T155" s="95" t="e">
        <f t="shared" si="116"/>
        <v>#N/A</v>
      </c>
      <c r="U155" s="95">
        <f t="shared" si="117"/>
        <v>0.05</v>
      </c>
    </row>
    <row r="156" spans="1:21" ht="15" x14ac:dyDescent="0.25">
      <c r="A156" s="41" t="str">
        <f t="shared" si="108"/>
        <v/>
      </c>
      <c r="B156" s="108">
        <v>1</v>
      </c>
      <c r="C156" s="37" t="e">
        <f t="shared" si="109"/>
        <v>#N/A</v>
      </c>
      <c r="D156" s="77">
        <f t="shared" si="110"/>
        <v>0</v>
      </c>
      <c r="E156" s="39">
        <v>0</v>
      </c>
      <c r="F156" s="39">
        <v>0</v>
      </c>
      <c r="G156" s="39">
        <v>0</v>
      </c>
      <c r="H156" s="39">
        <v>0</v>
      </c>
      <c r="I156" s="108">
        <v>1</v>
      </c>
      <c r="J156" s="37" t="e">
        <f t="shared" si="111"/>
        <v>#N/A</v>
      </c>
      <c r="K156" s="77">
        <f t="shared" si="112"/>
        <v>0</v>
      </c>
      <c r="L156" s="39">
        <v>0</v>
      </c>
      <c r="M156" s="39">
        <v>0</v>
      </c>
      <c r="N156" s="39">
        <v>0</v>
      </c>
      <c r="O156" s="40">
        <v>0</v>
      </c>
      <c r="Q156" s="99" t="str">
        <f t="shared" si="113"/>
        <v/>
      </c>
      <c r="R156" s="159" t="e">
        <f t="shared" si="114"/>
        <v>#N/A</v>
      </c>
      <c r="S156" s="159" t="e">
        <f t="shared" si="115"/>
        <v>#N/A</v>
      </c>
      <c r="T156" s="95" t="e">
        <f t="shared" si="116"/>
        <v>#N/A</v>
      </c>
      <c r="U156" s="95">
        <f t="shared" si="117"/>
        <v>0.05</v>
      </c>
    </row>
    <row r="157" spans="1:21" ht="15" x14ac:dyDescent="0.25">
      <c r="A157" s="41" t="str">
        <f t="shared" si="108"/>
        <v/>
      </c>
      <c r="B157" s="108">
        <v>1</v>
      </c>
      <c r="C157" s="37" t="e">
        <f t="shared" si="109"/>
        <v>#N/A</v>
      </c>
      <c r="D157" s="77">
        <f t="shared" si="110"/>
        <v>0</v>
      </c>
      <c r="E157" s="39">
        <v>0</v>
      </c>
      <c r="F157" s="39">
        <v>0</v>
      </c>
      <c r="G157" s="39">
        <v>0</v>
      </c>
      <c r="H157" s="39">
        <v>0</v>
      </c>
      <c r="I157" s="108">
        <v>1</v>
      </c>
      <c r="J157" s="37" t="e">
        <f t="shared" si="111"/>
        <v>#N/A</v>
      </c>
      <c r="K157" s="77">
        <f t="shared" si="112"/>
        <v>0</v>
      </c>
      <c r="L157" s="39">
        <v>0</v>
      </c>
      <c r="M157" s="39">
        <v>0</v>
      </c>
      <c r="N157" s="39">
        <v>0</v>
      </c>
      <c r="O157" s="40">
        <v>0</v>
      </c>
      <c r="Q157" s="99" t="str">
        <f t="shared" si="113"/>
        <v/>
      </c>
      <c r="R157" s="159" t="e">
        <f t="shared" si="114"/>
        <v>#N/A</v>
      </c>
      <c r="S157" s="159" t="e">
        <f t="shared" si="115"/>
        <v>#N/A</v>
      </c>
      <c r="T157" s="95" t="e">
        <f t="shared" si="116"/>
        <v>#N/A</v>
      </c>
      <c r="U157" s="95">
        <f t="shared" si="117"/>
        <v>0.05</v>
      </c>
    </row>
    <row r="158" spans="1:21" ht="15" x14ac:dyDescent="0.25">
      <c r="A158" s="41" t="str">
        <f t="shared" si="108"/>
        <v/>
      </c>
      <c r="B158" s="108">
        <v>1</v>
      </c>
      <c r="C158" s="37" t="e">
        <f t="shared" si="109"/>
        <v>#N/A</v>
      </c>
      <c r="D158" s="77">
        <f t="shared" si="110"/>
        <v>0</v>
      </c>
      <c r="E158" s="39">
        <v>0</v>
      </c>
      <c r="F158" s="39">
        <v>0</v>
      </c>
      <c r="G158" s="39">
        <v>0</v>
      </c>
      <c r="H158" s="39">
        <v>0</v>
      </c>
      <c r="I158" s="108">
        <v>1</v>
      </c>
      <c r="J158" s="37" t="e">
        <f t="shared" si="111"/>
        <v>#N/A</v>
      </c>
      <c r="K158" s="77">
        <f t="shared" si="112"/>
        <v>0</v>
      </c>
      <c r="L158" s="39">
        <v>0</v>
      </c>
      <c r="M158" s="39">
        <v>0</v>
      </c>
      <c r="N158" s="39">
        <v>0</v>
      </c>
      <c r="O158" s="40">
        <v>0</v>
      </c>
      <c r="Q158" s="99" t="str">
        <f t="shared" si="113"/>
        <v/>
      </c>
      <c r="R158" s="159" t="e">
        <f t="shared" si="114"/>
        <v>#N/A</v>
      </c>
      <c r="S158" s="159" t="e">
        <f t="shared" si="115"/>
        <v>#N/A</v>
      </c>
      <c r="T158" s="95" t="e">
        <f t="shared" si="116"/>
        <v>#N/A</v>
      </c>
      <c r="U158" s="95">
        <f t="shared" si="117"/>
        <v>0.05</v>
      </c>
    </row>
    <row r="159" spans="1:21" ht="15" x14ac:dyDescent="0.25">
      <c r="A159" s="41" t="str">
        <f t="shared" si="108"/>
        <v/>
      </c>
      <c r="B159" s="108">
        <v>1</v>
      </c>
      <c r="C159" s="37" t="e">
        <f t="shared" si="109"/>
        <v>#N/A</v>
      </c>
      <c r="D159" s="77">
        <f t="shared" si="110"/>
        <v>0</v>
      </c>
      <c r="E159" s="39">
        <v>0</v>
      </c>
      <c r="F159" s="39">
        <v>0</v>
      </c>
      <c r="G159" s="39">
        <v>0</v>
      </c>
      <c r="H159" s="39">
        <v>0</v>
      </c>
      <c r="I159" s="108">
        <v>1</v>
      </c>
      <c r="J159" s="37" t="e">
        <f t="shared" si="111"/>
        <v>#N/A</v>
      </c>
      <c r="K159" s="77">
        <f t="shared" si="112"/>
        <v>0</v>
      </c>
      <c r="L159" s="39">
        <v>0</v>
      </c>
      <c r="M159" s="39">
        <v>0</v>
      </c>
      <c r="N159" s="39">
        <v>0</v>
      </c>
      <c r="O159" s="40">
        <v>0</v>
      </c>
      <c r="Q159" s="99" t="str">
        <f t="shared" si="113"/>
        <v/>
      </c>
      <c r="R159" s="159" t="e">
        <f t="shared" si="114"/>
        <v>#N/A</v>
      </c>
      <c r="S159" s="159" t="e">
        <f t="shared" si="115"/>
        <v>#N/A</v>
      </c>
      <c r="T159" s="95" t="e">
        <f t="shared" si="116"/>
        <v>#N/A</v>
      </c>
      <c r="U159" s="95">
        <f t="shared" si="117"/>
        <v>0.05</v>
      </c>
    </row>
    <row r="160" spans="1:21" ht="15" x14ac:dyDescent="0.25">
      <c r="A160" s="41" t="str">
        <f t="shared" si="108"/>
        <v/>
      </c>
      <c r="B160" s="108">
        <v>1</v>
      </c>
      <c r="C160" s="37" t="e">
        <f t="shared" si="109"/>
        <v>#N/A</v>
      </c>
      <c r="D160" s="77">
        <f t="shared" si="110"/>
        <v>0</v>
      </c>
      <c r="E160" s="39">
        <v>0</v>
      </c>
      <c r="F160" s="39">
        <v>0</v>
      </c>
      <c r="G160" s="39">
        <v>0</v>
      </c>
      <c r="H160" s="39">
        <v>0</v>
      </c>
      <c r="I160" s="108">
        <v>1</v>
      </c>
      <c r="J160" s="37" t="e">
        <f t="shared" si="111"/>
        <v>#N/A</v>
      </c>
      <c r="K160" s="77">
        <f t="shared" si="112"/>
        <v>0</v>
      </c>
      <c r="L160" s="39">
        <v>0</v>
      </c>
      <c r="M160" s="39">
        <v>0</v>
      </c>
      <c r="N160" s="39">
        <v>0</v>
      </c>
      <c r="O160" s="40">
        <v>0</v>
      </c>
      <c r="Q160" s="99" t="str">
        <f t="shared" si="113"/>
        <v/>
      </c>
      <c r="R160" s="159" t="e">
        <f t="shared" si="114"/>
        <v>#N/A</v>
      </c>
      <c r="S160" s="159" t="e">
        <f t="shared" si="115"/>
        <v>#N/A</v>
      </c>
      <c r="T160" s="95" t="e">
        <f t="shared" si="116"/>
        <v>#N/A</v>
      </c>
      <c r="U160" s="95">
        <f t="shared" si="117"/>
        <v>0.05</v>
      </c>
    </row>
    <row r="161" spans="1:21" ht="15" x14ac:dyDescent="0.25">
      <c r="A161" s="41" t="str">
        <f t="shared" si="108"/>
        <v/>
      </c>
      <c r="B161" s="108">
        <v>1</v>
      </c>
      <c r="C161" s="37" t="e">
        <f t="shared" si="109"/>
        <v>#N/A</v>
      </c>
      <c r="D161" s="77">
        <f t="shared" si="110"/>
        <v>0</v>
      </c>
      <c r="E161" s="39">
        <v>0</v>
      </c>
      <c r="F161" s="39">
        <v>0</v>
      </c>
      <c r="G161" s="39">
        <v>0</v>
      </c>
      <c r="H161" s="39">
        <v>0</v>
      </c>
      <c r="I161" s="108">
        <v>1</v>
      </c>
      <c r="J161" s="37" t="e">
        <f t="shared" si="111"/>
        <v>#N/A</v>
      </c>
      <c r="K161" s="77">
        <f t="shared" si="112"/>
        <v>0</v>
      </c>
      <c r="L161" s="39">
        <v>0</v>
      </c>
      <c r="M161" s="39">
        <v>0</v>
      </c>
      <c r="N161" s="39">
        <v>0</v>
      </c>
      <c r="O161" s="40">
        <v>0</v>
      </c>
      <c r="Q161" s="99" t="str">
        <f t="shared" si="113"/>
        <v/>
      </c>
      <c r="R161" s="159" t="e">
        <f t="shared" si="114"/>
        <v>#N/A</v>
      </c>
      <c r="S161" s="159" t="e">
        <f t="shared" si="115"/>
        <v>#N/A</v>
      </c>
      <c r="T161" s="95" t="e">
        <f t="shared" si="116"/>
        <v>#N/A</v>
      </c>
      <c r="U161" s="95">
        <f t="shared" si="117"/>
        <v>0.05</v>
      </c>
    </row>
    <row r="162" spans="1:21" ht="15.75" thickBot="1" x14ac:dyDescent="0.3">
      <c r="A162" s="42" t="str">
        <f t="shared" si="108"/>
        <v/>
      </c>
      <c r="B162" s="114">
        <v>1</v>
      </c>
      <c r="C162" s="109" t="e">
        <f t="shared" si="109"/>
        <v>#N/A</v>
      </c>
      <c r="D162" s="23">
        <f t="shared" si="110"/>
        <v>0</v>
      </c>
      <c r="E162" s="112">
        <v>0</v>
      </c>
      <c r="F162" s="112">
        <v>0</v>
      </c>
      <c r="G162" s="112">
        <v>0</v>
      </c>
      <c r="H162" s="112">
        <v>0</v>
      </c>
      <c r="I162" s="114">
        <v>1</v>
      </c>
      <c r="J162" s="109" t="e">
        <f t="shared" si="111"/>
        <v>#N/A</v>
      </c>
      <c r="K162" s="23">
        <f t="shared" si="112"/>
        <v>0</v>
      </c>
      <c r="L162" s="112">
        <v>0</v>
      </c>
      <c r="M162" s="112">
        <v>0</v>
      </c>
      <c r="N162" s="112">
        <v>0</v>
      </c>
      <c r="O162" s="113">
        <v>0</v>
      </c>
      <c r="Q162" s="99" t="str">
        <f t="shared" si="113"/>
        <v/>
      </c>
      <c r="R162" s="159" t="e">
        <f t="shared" si="114"/>
        <v>#N/A</v>
      </c>
      <c r="S162" s="159" t="e">
        <f t="shared" si="115"/>
        <v>#N/A</v>
      </c>
      <c r="T162" s="95" t="e">
        <f t="shared" si="116"/>
        <v>#N/A</v>
      </c>
      <c r="U162" s="95">
        <f t="shared" si="117"/>
        <v>0.05</v>
      </c>
    </row>
    <row r="163" spans="1:21" ht="15.75" thickBot="1" x14ac:dyDescent="0.3">
      <c r="A163" s="41"/>
      <c r="B163"/>
      <c r="C163" s="37"/>
      <c r="D163" s="24"/>
      <c r="E163" s="39"/>
      <c r="F163" s="39"/>
      <c r="G163" s="39"/>
      <c r="H163" s="39"/>
      <c r="I163"/>
      <c r="J163" s="38"/>
      <c r="K163" s="24"/>
      <c r="L163" s="39"/>
      <c r="M163" s="39"/>
      <c r="N163" s="39"/>
      <c r="O163" s="40"/>
      <c r="Q163" s="96"/>
      <c r="R163" s="97"/>
      <c r="S163" s="97"/>
      <c r="T163" s="98"/>
      <c r="U163" s="98"/>
    </row>
    <row r="164" spans="1:21" ht="16.5" thickBot="1" x14ac:dyDescent="0.3">
      <c r="A164" s="41"/>
      <c r="B164"/>
      <c r="C164" s="37"/>
      <c r="D164" s="24"/>
      <c r="E164" s="39"/>
      <c r="F164" s="39"/>
      <c r="G164" s="39"/>
      <c r="H164" s="39"/>
      <c r="I164"/>
      <c r="J164" s="38"/>
      <c r="K164" s="24"/>
      <c r="L164" s="39"/>
      <c r="M164" s="39"/>
      <c r="N164" s="39"/>
      <c r="O164" s="40"/>
      <c r="Q164" s="166" t="str">
        <f ca="1">'Espesor E2'!AB2</f>
        <v xml:space="preserve"> E2</v>
      </c>
      <c r="R164" s="167"/>
      <c r="S164" s="167"/>
      <c r="T164" s="167"/>
      <c r="U164" s="168"/>
    </row>
    <row r="165" spans="1:21" ht="16.5" thickBot="1" x14ac:dyDescent="0.3">
      <c r="A165" s="169" t="str">
        <f ca="1">REPT('Espesor E2'!AC2,32)</f>
        <v xml:space="preserve"> E2 / E2 / E2 / E2 / E2 / E2 / E2 / E2 / E2 / E2 / E2 / E2 / E2 / E2 / E2 / E2 / E2 / E2 / E2 / E2 / E2 / E2 / E2 / E2 / E2 / E2 / E2 / E2 / E2 / E2 / E2 / E2 /</v>
      </c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1"/>
      <c r="Q165" s="101" t="s">
        <v>61</v>
      </c>
      <c r="R165" s="102" t="s">
        <v>122</v>
      </c>
      <c r="S165" s="102" t="s">
        <v>123</v>
      </c>
      <c r="T165" s="102" t="s">
        <v>124</v>
      </c>
      <c r="U165" s="103" t="s">
        <v>125</v>
      </c>
    </row>
    <row r="166" spans="1:21" ht="15" x14ac:dyDescent="0.25">
      <c r="A166" s="115" t="str">
        <f>A33</f>
        <v>N/A</v>
      </c>
      <c r="B166" s="105">
        <v>1</v>
      </c>
      <c r="C166" s="106" t="e">
        <f>IF((VLOOKUP(A166,$A$33:$D$52,4,FALSE))="2D",(IF(B33&gt;C33,B166*($L$3+$L$5),B166*($L$3+$L$4))),((IF(B33&gt;C33,B166*($L$3+$L$5),B166*($L$3+$L$4)))))</f>
        <v>#N/A</v>
      </c>
      <c r="D166" s="107">
        <f>(E166*5.07+F166*2.85+G166*1.27+H166*0.71)</f>
        <v>0</v>
      </c>
      <c r="E166" s="110">
        <v>0</v>
      </c>
      <c r="F166" s="110">
        <v>0</v>
      </c>
      <c r="G166" s="110">
        <v>0</v>
      </c>
      <c r="H166" s="110">
        <v>0</v>
      </c>
      <c r="I166" s="105">
        <v>1</v>
      </c>
      <c r="J166" s="106" t="e">
        <f>IF((VLOOKUP(A166,$A$33:$D$52,4,FALSE))="2D",(IF(B33&lt;C33,I166*($L$3+$L$5),I166*($L$3+$L$4))),((IF(B33&lt;C33,I166*($L$3+$L$5),I166*($L$3+$L$4)))))</f>
        <v>#N/A</v>
      </c>
      <c r="K166" s="107">
        <f>(L166*5.07+M166*2.85+N166*1.27+O166*0.71)</f>
        <v>0</v>
      </c>
      <c r="L166" s="110">
        <v>0</v>
      </c>
      <c r="M166" s="110">
        <v>0</v>
      </c>
      <c r="N166" s="110">
        <v>0</v>
      </c>
      <c r="O166" s="111">
        <v>0</v>
      </c>
      <c r="Q166" s="100" t="str">
        <f>A166</f>
        <v>N/A</v>
      </c>
      <c r="R166" s="159" t="e">
        <f>IF(D33="2D",G166,IF(B33=(MIN(B33:C33)),G166,0))</f>
        <v>#N/A</v>
      </c>
      <c r="S166" s="159" t="e">
        <f>IF(D33="2D",N166,IF(C33=(MIN(B33:C33)),N166,0))</f>
        <v>#N/A</v>
      </c>
      <c r="T166" s="95" t="e">
        <f>K33-L33</f>
        <v>#N/A</v>
      </c>
      <c r="U166" s="95">
        <f>L33</f>
        <v>0.05</v>
      </c>
    </row>
    <row r="167" spans="1:21" ht="15" x14ac:dyDescent="0.25">
      <c r="A167" s="41" t="str">
        <f t="shared" ref="A167:A185" si="118">A34</f>
        <v>N/A</v>
      </c>
      <c r="B167" s="108">
        <v>1</v>
      </c>
      <c r="C167" s="37" t="e">
        <f t="shared" ref="C167:C185" si="119">IF((VLOOKUP(A167,$A$33:$D$52,4,FALSE))="2D",(IF(B34&gt;C34,B167*($L$3+$L$5),B167*($L$3+$L$4))),((IF(B34&gt;C34,B167*($L$3+$L$5),B167*($L$3+$L$4)))))</f>
        <v>#N/A</v>
      </c>
      <c r="D167" s="77">
        <f t="shared" ref="D167:D185" si="120">(E167*5.07+F167*2.85+G167*1.27+H167*0.71)</f>
        <v>0</v>
      </c>
      <c r="E167" s="39">
        <v>0</v>
      </c>
      <c r="F167" s="39">
        <v>0</v>
      </c>
      <c r="G167" s="39">
        <v>0</v>
      </c>
      <c r="H167" s="39">
        <v>0</v>
      </c>
      <c r="I167" s="108">
        <v>1</v>
      </c>
      <c r="J167" s="37" t="e">
        <f t="shared" ref="J167:J185" si="121">IF((VLOOKUP(A167,$A$33:$D$52,4,FALSE))="2D",(IF(B34&lt;C34,I167*($L$3+$L$5),I167*($L$3+$L$4))),((IF(B34&lt;C34,I167*($L$3+$L$5),I167*($L$3+$L$4)))))</f>
        <v>#N/A</v>
      </c>
      <c r="K167" s="77">
        <f t="shared" ref="K167:K185" si="122">(L167*5.07+M167*2.85+N167*1.27+O167*0.71)</f>
        <v>0</v>
      </c>
      <c r="L167" s="39">
        <v>0</v>
      </c>
      <c r="M167" s="39">
        <v>0</v>
      </c>
      <c r="N167" s="39">
        <v>0</v>
      </c>
      <c r="O167" s="40">
        <v>0</v>
      </c>
      <c r="Q167" s="99" t="str">
        <f t="shared" ref="Q167:Q185" si="123">A167</f>
        <v>N/A</v>
      </c>
      <c r="R167" s="159" t="e">
        <f t="shared" ref="R167:R185" si="124">IF(D34="2D",G167,IF(B34=(MIN(B34:C34)),G167,0))</f>
        <v>#N/A</v>
      </c>
      <c r="S167" s="159" t="e">
        <f t="shared" ref="S167:S185" si="125">IF(D34="2D",N167,IF(C34=(MIN(B34:C34)),N167,0))</f>
        <v>#N/A</v>
      </c>
      <c r="T167" s="95" t="e">
        <f t="shared" ref="T167:T185" si="126">K34-L34</f>
        <v>#N/A</v>
      </c>
      <c r="U167" s="95">
        <f t="shared" ref="U167:U185" si="127">L34</f>
        <v>0.05</v>
      </c>
    </row>
    <row r="168" spans="1:21" ht="15" x14ac:dyDescent="0.25">
      <c r="A168" s="41" t="str">
        <f t="shared" si="118"/>
        <v>N/A</v>
      </c>
      <c r="B168" s="108">
        <v>1</v>
      </c>
      <c r="C168" s="37" t="e">
        <f t="shared" si="119"/>
        <v>#N/A</v>
      </c>
      <c r="D168" s="77">
        <f t="shared" si="120"/>
        <v>0</v>
      </c>
      <c r="E168" s="39">
        <v>0</v>
      </c>
      <c r="F168" s="39">
        <v>0</v>
      </c>
      <c r="G168" s="39">
        <v>0</v>
      </c>
      <c r="H168" s="39">
        <v>0</v>
      </c>
      <c r="I168" s="108">
        <v>1</v>
      </c>
      <c r="J168" s="37" t="e">
        <f t="shared" si="121"/>
        <v>#N/A</v>
      </c>
      <c r="K168" s="77">
        <f t="shared" si="122"/>
        <v>0</v>
      </c>
      <c r="L168" s="39">
        <v>0</v>
      </c>
      <c r="M168" s="39">
        <v>0</v>
      </c>
      <c r="N168" s="39">
        <v>0</v>
      </c>
      <c r="O168" s="40">
        <v>0</v>
      </c>
      <c r="Q168" s="99" t="str">
        <f t="shared" si="123"/>
        <v>N/A</v>
      </c>
      <c r="R168" s="159" t="e">
        <f t="shared" si="124"/>
        <v>#N/A</v>
      </c>
      <c r="S168" s="159" t="e">
        <f t="shared" si="125"/>
        <v>#N/A</v>
      </c>
      <c r="T168" s="95" t="e">
        <f t="shared" si="126"/>
        <v>#N/A</v>
      </c>
      <c r="U168" s="95">
        <f t="shared" si="127"/>
        <v>0.05</v>
      </c>
    </row>
    <row r="169" spans="1:21" ht="15" x14ac:dyDescent="0.25">
      <c r="A169" s="41" t="str">
        <f t="shared" si="118"/>
        <v>N/A</v>
      </c>
      <c r="B169" s="108">
        <v>1</v>
      </c>
      <c r="C169" s="37" t="e">
        <f t="shared" si="119"/>
        <v>#N/A</v>
      </c>
      <c r="D169" s="77">
        <f t="shared" si="120"/>
        <v>0</v>
      </c>
      <c r="E169" s="39">
        <v>0</v>
      </c>
      <c r="F169" s="39">
        <v>0</v>
      </c>
      <c r="G169" s="39">
        <v>0</v>
      </c>
      <c r="H169" s="39">
        <v>0</v>
      </c>
      <c r="I169" s="108">
        <v>1</v>
      </c>
      <c r="J169" s="37" t="e">
        <f t="shared" si="121"/>
        <v>#N/A</v>
      </c>
      <c r="K169" s="77">
        <f t="shared" si="122"/>
        <v>0</v>
      </c>
      <c r="L169" s="39">
        <v>0</v>
      </c>
      <c r="M169" s="39">
        <v>0</v>
      </c>
      <c r="N169" s="39">
        <v>0</v>
      </c>
      <c r="O169" s="40">
        <v>0</v>
      </c>
      <c r="Q169" s="99" t="str">
        <f t="shared" si="123"/>
        <v>N/A</v>
      </c>
      <c r="R169" s="159" t="e">
        <f t="shared" si="124"/>
        <v>#N/A</v>
      </c>
      <c r="S169" s="159" t="e">
        <f t="shared" si="125"/>
        <v>#N/A</v>
      </c>
      <c r="T169" s="95" t="e">
        <f t="shared" si="126"/>
        <v>#N/A</v>
      </c>
      <c r="U169" s="95">
        <f t="shared" si="127"/>
        <v>0.05</v>
      </c>
    </row>
    <row r="170" spans="1:21" ht="15" x14ac:dyDescent="0.25">
      <c r="A170" s="41" t="str">
        <f t="shared" si="118"/>
        <v>N/A</v>
      </c>
      <c r="B170" s="108">
        <v>1</v>
      </c>
      <c r="C170" s="37" t="e">
        <f t="shared" si="119"/>
        <v>#N/A</v>
      </c>
      <c r="D170" s="77">
        <f t="shared" si="120"/>
        <v>0</v>
      </c>
      <c r="E170" s="39">
        <v>0</v>
      </c>
      <c r="F170" s="39">
        <v>0</v>
      </c>
      <c r="G170" s="39">
        <v>0</v>
      </c>
      <c r="H170" s="39">
        <v>0</v>
      </c>
      <c r="I170" s="108">
        <v>1</v>
      </c>
      <c r="J170" s="37" t="e">
        <f t="shared" si="121"/>
        <v>#N/A</v>
      </c>
      <c r="K170" s="77">
        <f t="shared" si="122"/>
        <v>0</v>
      </c>
      <c r="L170" s="39">
        <v>0</v>
      </c>
      <c r="M170" s="39">
        <v>0</v>
      </c>
      <c r="N170" s="39">
        <v>0</v>
      </c>
      <c r="O170" s="40">
        <v>0</v>
      </c>
      <c r="Q170" s="99" t="str">
        <f t="shared" si="123"/>
        <v>N/A</v>
      </c>
      <c r="R170" s="159" t="e">
        <f t="shared" si="124"/>
        <v>#N/A</v>
      </c>
      <c r="S170" s="159" t="e">
        <f t="shared" si="125"/>
        <v>#N/A</v>
      </c>
      <c r="T170" s="95" t="e">
        <f t="shared" si="126"/>
        <v>#N/A</v>
      </c>
      <c r="U170" s="95">
        <f t="shared" si="127"/>
        <v>0.05</v>
      </c>
    </row>
    <row r="171" spans="1:21" ht="15" x14ac:dyDescent="0.25">
      <c r="A171" s="41" t="str">
        <f t="shared" si="118"/>
        <v>N/A</v>
      </c>
      <c r="B171" s="108">
        <v>1</v>
      </c>
      <c r="C171" s="37" t="e">
        <f t="shared" si="119"/>
        <v>#N/A</v>
      </c>
      <c r="D171" s="77">
        <f t="shared" si="120"/>
        <v>0</v>
      </c>
      <c r="E171" s="39">
        <v>0</v>
      </c>
      <c r="F171" s="39">
        <v>0</v>
      </c>
      <c r="G171" s="39">
        <v>0</v>
      </c>
      <c r="H171" s="39">
        <v>0</v>
      </c>
      <c r="I171" s="108">
        <v>1</v>
      </c>
      <c r="J171" s="37" t="e">
        <f t="shared" si="121"/>
        <v>#N/A</v>
      </c>
      <c r="K171" s="77">
        <f t="shared" si="122"/>
        <v>0</v>
      </c>
      <c r="L171" s="39">
        <v>0</v>
      </c>
      <c r="M171" s="39">
        <v>0</v>
      </c>
      <c r="N171" s="39">
        <v>0</v>
      </c>
      <c r="O171" s="40">
        <v>0</v>
      </c>
      <c r="Q171" s="99" t="str">
        <f t="shared" si="123"/>
        <v>N/A</v>
      </c>
      <c r="R171" s="159" t="e">
        <f t="shared" si="124"/>
        <v>#N/A</v>
      </c>
      <c r="S171" s="159" t="e">
        <f t="shared" si="125"/>
        <v>#N/A</v>
      </c>
      <c r="T171" s="95" t="e">
        <f t="shared" si="126"/>
        <v>#N/A</v>
      </c>
      <c r="U171" s="95">
        <f t="shared" si="127"/>
        <v>0.05</v>
      </c>
    </row>
    <row r="172" spans="1:21" ht="15" x14ac:dyDescent="0.25">
      <c r="A172" s="41" t="str">
        <f t="shared" si="118"/>
        <v>N/A</v>
      </c>
      <c r="B172" s="108">
        <v>1</v>
      </c>
      <c r="C172" s="37" t="e">
        <f t="shared" si="119"/>
        <v>#N/A</v>
      </c>
      <c r="D172" s="77">
        <f t="shared" si="120"/>
        <v>0</v>
      </c>
      <c r="E172" s="39">
        <v>0</v>
      </c>
      <c r="F172" s="39">
        <v>0</v>
      </c>
      <c r="G172" s="39">
        <v>0</v>
      </c>
      <c r="H172" s="39">
        <v>0</v>
      </c>
      <c r="I172" s="108">
        <v>1</v>
      </c>
      <c r="J172" s="37" t="e">
        <f t="shared" si="121"/>
        <v>#N/A</v>
      </c>
      <c r="K172" s="77">
        <f t="shared" si="122"/>
        <v>0</v>
      </c>
      <c r="L172" s="39">
        <v>0</v>
      </c>
      <c r="M172" s="39">
        <v>0</v>
      </c>
      <c r="N172" s="39">
        <v>0</v>
      </c>
      <c r="O172" s="40">
        <v>0</v>
      </c>
      <c r="Q172" s="99" t="str">
        <f t="shared" si="123"/>
        <v>N/A</v>
      </c>
      <c r="R172" s="159" t="e">
        <f t="shared" si="124"/>
        <v>#N/A</v>
      </c>
      <c r="S172" s="159" t="e">
        <f t="shared" si="125"/>
        <v>#N/A</v>
      </c>
      <c r="T172" s="95" t="e">
        <f t="shared" si="126"/>
        <v>#N/A</v>
      </c>
      <c r="U172" s="95">
        <f t="shared" si="127"/>
        <v>0.05</v>
      </c>
    </row>
    <row r="173" spans="1:21" ht="15" x14ac:dyDescent="0.25">
      <c r="A173" s="41" t="str">
        <f t="shared" si="118"/>
        <v>N/A</v>
      </c>
      <c r="B173" s="108">
        <v>1</v>
      </c>
      <c r="C173" s="37" t="e">
        <f t="shared" si="119"/>
        <v>#N/A</v>
      </c>
      <c r="D173" s="77">
        <f t="shared" si="120"/>
        <v>0</v>
      </c>
      <c r="E173" s="39">
        <v>0</v>
      </c>
      <c r="F173" s="39">
        <v>0</v>
      </c>
      <c r="G173" s="39">
        <v>0</v>
      </c>
      <c r="H173" s="39">
        <v>0</v>
      </c>
      <c r="I173" s="108">
        <v>1</v>
      </c>
      <c r="J173" s="37" t="e">
        <f t="shared" si="121"/>
        <v>#N/A</v>
      </c>
      <c r="K173" s="77">
        <f t="shared" si="122"/>
        <v>0</v>
      </c>
      <c r="L173" s="39">
        <v>0</v>
      </c>
      <c r="M173" s="39">
        <v>0</v>
      </c>
      <c r="N173" s="39">
        <v>0</v>
      </c>
      <c r="O173" s="40">
        <v>0</v>
      </c>
      <c r="Q173" s="99" t="str">
        <f t="shared" si="123"/>
        <v>N/A</v>
      </c>
      <c r="R173" s="159" t="e">
        <f t="shared" si="124"/>
        <v>#N/A</v>
      </c>
      <c r="S173" s="159" t="e">
        <f t="shared" si="125"/>
        <v>#N/A</v>
      </c>
      <c r="T173" s="95" t="e">
        <f t="shared" si="126"/>
        <v>#N/A</v>
      </c>
      <c r="U173" s="95">
        <f t="shared" si="127"/>
        <v>0.05</v>
      </c>
    </row>
    <row r="174" spans="1:21" ht="15" x14ac:dyDescent="0.25">
      <c r="A174" s="41" t="str">
        <f t="shared" si="118"/>
        <v>N/A</v>
      </c>
      <c r="B174" s="108">
        <v>1</v>
      </c>
      <c r="C174" s="37" t="e">
        <f t="shared" si="119"/>
        <v>#N/A</v>
      </c>
      <c r="D174" s="77">
        <f t="shared" si="120"/>
        <v>0</v>
      </c>
      <c r="E174" s="39">
        <v>0</v>
      </c>
      <c r="F174" s="39">
        <v>0</v>
      </c>
      <c r="G174" s="39">
        <v>0</v>
      </c>
      <c r="H174" s="39">
        <v>0</v>
      </c>
      <c r="I174" s="108">
        <v>1</v>
      </c>
      <c r="J174" s="37" t="e">
        <f t="shared" si="121"/>
        <v>#N/A</v>
      </c>
      <c r="K174" s="77">
        <f t="shared" si="122"/>
        <v>0</v>
      </c>
      <c r="L174" s="39">
        <v>0</v>
      </c>
      <c r="M174" s="39">
        <v>0</v>
      </c>
      <c r="N174" s="39">
        <v>0</v>
      </c>
      <c r="O174" s="40">
        <v>0</v>
      </c>
      <c r="Q174" s="99" t="str">
        <f t="shared" si="123"/>
        <v>N/A</v>
      </c>
      <c r="R174" s="159" t="e">
        <f t="shared" si="124"/>
        <v>#N/A</v>
      </c>
      <c r="S174" s="159" t="e">
        <f t="shared" si="125"/>
        <v>#N/A</v>
      </c>
      <c r="T174" s="95" t="e">
        <f t="shared" si="126"/>
        <v>#N/A</v>
      </c>
      <c r="U174" s="95">
        <f t="shared" si="127"/>
        <v>0.05</v>
      </c>
    </row>
    <row r="175" spans="1:21" ht="15" x14ac:dyDescent="0.25">
      <c r="A175" s="41" t="str">
        <f t="shared" si="118"/>
        <v>N/A</v>
      </c>
      <c r="B175" s="108">
        <v>1</v>
      </c>
      <c r="C175" s="37" t="e">
        <f t="shared" si="119"/>
        <v>#N/A</v>
      </c>
      <c r="D175" s="77">
        <f t="shared" si="120"/>
        <v>0</v>
      </c>
      <c r="E175" s="39">
        <v>0</v>
      </c>
      <c r="F175" s="39">
        <v>0</v>
      </c>
      <c r="G175" s="39">
        <v>0</v>
      </c>
      <c r="H175" s="39">
        <v>0</v>
      </c>
      <c r="I175" s="108">
        <v>1</v>
      </c>
      <c r="J175" s="37" t="e">
        <f t="shared" si="121"/>
        <v>#N/A</v>
      </c>
      <c r="K175" s="77">
        <f t="shared" si="122"/>
        <v>0</v>
      </c>
      <c r="L175" s="39">
        <v>0</v>
      </c>
      <c r="M175" s="39">
        <v>0</v>
      </c>
      <c r="N175" s="39">
        <v>0</v>
      </c>
      <c r="O175" s="40">
        <v>0</v>
      </c>
      <c r="Q175" s="99" t="str">
        <f t="shared" si="123"/>
        <v>N/A</v>
      </c>
      <c r="R175" s="159" t="e">
        <f t="shared" si="124"/>
        <v>#N/A</v>
      </c>
      <c r="S175" s="159" t="e">
        <f t="shared" si="125"/>
        <v>#N/A</v>
      </c>
      <c r="T175" s="95" t="e">
        <f t="shared" si="126"/>
        <v>#N/A</v>
      </c>
      <c r="U175" s="95">
        <f t="shared" si="127"/>
        <v>0.05</v>
      </c>
    </row>
    <row r="176" spans="1:21" ht="15" x14ac:dyDescent="0.25">
      <c r="A176" s="41" t="str">
        <f t="shared" si="118"/>
        <v>N/A</v>
      </c>
      <c r="B176" s="108">
        <v>1</v>
      </c>
      <c r="C176" s="37" t="e">
        <f t="shared" si="119"/>
        <v>#N/A</v>
      </c>
      <c r="D176" s="77">
        <f t="shared" si="120"/>
        <v>0</v>
      </c>
      <c r="E176" s="39">
        <v>0</v>
      </c>
      <c r="F176" s="39">
        <v>0</v>
      </c>
      <c r="G176" s="39">
        <v>0</v>
      </c>
      <c r="H176" s="39">
        <v>0</v>
      </c>
      <c r="I176" s="108">
        <v>1</v>
      </c>
      <c r="J176" s="37" t="e">
        <f t="shared" si="121"/>
        <v>#N/A</v>
      </c>
      <c r="K176" s="77">
        <f t="shared" si="122"/>
        <v>0</v>
      </c>
      <c r="L176" s="39">
        <v>0</v>
      </c>
      <c r="M176" s="39">
        <v>0</v>
      </c>
      <c r="N176" s="39">
        <v>0</v>
      </c>
      <c r="O176" s="40">
        <v>0</v>
      </c>
      <c r="Q176" s="99" t="str">
        <f t="shared" si="123"/>
        <v>N/A</v>
      </c>
      <c r="R176" s="159" t="e">
        <f t="shared" si="124"/>
        <v>#N/A</v>
      </c>
      <c r="S176" s="159" t="e">
        <f t="shared" si="125"/>
        <v>#N/A</v>
      </c>
      <c r="T176" s="95" t="e">
        <f t="shared" si="126"/>
        <v>#N/A</v>
      </c>
      <c r="U176" s="95">
        <f t="shared" si="127"/>
        <v>0.05</v>
      </c>
    </row>
    <row r="177" spans="1:21" ht="15" x14ac:dyDescent="0.25">
      <c r="A177" s="41" t="str">
        <f t="shared" si="118"/>
        <v>N/A</v>
      </c>
      <c r="B177" s="108">
        <v>1</v>
      </c>
      <c r="C177" s="37" t="e">
        <f t="shared" si="119"/>
        <v>#N/A</v>
      </c>
      <c r="D177" s="77">
        <f t="shared" si="120"/>
        <v>0</v>
      </c>
      <c r="E177" s="39">
        <v>0</v>
      </c>
      <c r="F177" s="39">
        <v>0</v>
      </c>
      <c r="G177" s="39">
        <v>0</v>
      </c>
      <c r="H177" s="39">
        <v>0</v>
      </c>
      <c r="I177" s="108">
        <v>1</v>
      </c>
      <c r="J177" s="37" t="e">
        <f t="shared" si="121"/>
        <v>#N/A</v>
      </c>
      <c r="K177" s="77">
        <f t="shared" si="122"/>
        <v>0</v>
      </c>
      <c r="L177" s="39">
        <v>0</v>
      </c>
      <c r="M177" s="39">
        <v>0</v>
      </c>
      <c r="N177" s="39">
        <v>0</v>
      </c>
      <c r="O177" s="40">
        <v>0</v>
      </c>
      <c r="Q177" s="99" t="str">
        <f t="shared" si="123"/>
        <v>N/A</v>
      </c>
      <c r="R177" s="159" t="e">
        <f t="shared" si="124"/>
        <v>#N/A</v>
      </c>
      <c r="S177" s="159" t="e">
        <f t="shared" si="125"/>
        <v>#N/A</v>
      </c>
      <c r="T177" s="95" t="e">
        <f t="shared" si="126"/>
        <v>#N/A</v>
      </c>
      <c r="U177" s="95">
        <f t="shared" si="127"/>
        <v>0.05</v>
      </c>
    </row>
    <row r="178" spans="1:21" ht="15" x14ac:dyDescent="0.25">
      <c r="A178" s="41" t="str">
        <f t="shared" si="118"/>
        <v>N/A</v>
      </c>
      <c r="B178" s="108">
        <v>1</v>
      </c>
      <c r="C178" s="37" t="e">
        <f t="shared" si="119"/>
        <v>#N/A</v>
      </c>
      <c r="D178" s="77">
        <f t="shared" si="120"/>
        <v>0</v>
      </c>
      <c r="E178" s="39">
        <v>0</v>
      </c>
      <c r="F178" s="39">
        <v>0</v>
      </c>
      <c r="G178" s="39">
        <v>0</v>
      </c>
      <c r="H178" s="39">
        <v>0</v>
      </c>
      <c r="I178" s="108">
        <v>1</v>
      </c>
      <c r="J178" s="37" t="e">
        <f t="shared" si="121"/>
        <v>#N/A</v>
      </c>
      <c r="K178" s="77">
        <f t="shared" si="122"/>
        <v>0</v>
      </c>
      <c r="L178" s="39">
        <v>0</v>
      </c>
      <c r="M178" s="39">
        <v>0</v>
      </c>
      <c r="N178" s="39">
        <v>0</v>
      </c>
      <c r="O178" s="40">
        <v>0</v>
      </c>
      <c r="Q178" s="99" t="str">
        <f t="shared" si="123"/>
        <v>N/A</v>
      </c>
      <c r="R178" s="159" t="e">
        <f t="shared" si="124"/>
        <v>#N/A</v>
      </c>
      <c r="S178" s="159" t="e">
        <f t="shared" si="125"/>
        <v>#N/A</v>
      </c>
      <c r="T178" s="95" t="e">
        <f t="shared" si="126"/>
        <v>#N/A</v>
      </c>
      <c r="U178" s="95">
        <f t="shared" si="127"/>
        <v>0.05</v>
      </c>
    </row>
    <row r="179" spans="1:21" ht="15" x14ac:dyDescent="0.25">
      <c r="A179" s="41" t="str">
        <f t="shared" si="118"/>
        <v>N/A</v>
      </c>
      <c r="B179" s="108">
        <v>1</v>
      </c>
      <c r="C179" s="37" t="e">
        <f t="shared" si="119"/>
        <v>#N/A</v>
      </c>
      <c r="D179" s="77">
        <f t="shared" si="120"/>
        <v>0</v>
      </c>
      <c r="E179" s="39">
        <v>0</v>
      </c>
      <c r="F179" s="39">
        <v>0</v>
      </c>
      <c r="G179" s="39">
        <v>0</v>
      </c>
      <c r="H179" s="39">
        <v>0</v>
      </c>
      <c r="I179" s="108">
        <v>1</v>
      </c>
      <c r="J179" s="37" t="e">
        <f t="shared" si="121"/>
        <v>#N/A</v>
      </c>
      <c r="K179" s="77">
        <f t="shared" si="122"/>
        <v>0</v>
      </c>
      <c r="L179" s="39">
        <v>0</v>
      </c>
      <c r="M179" s="39">
        <v>0</v>
      </c>
      <c r="N179" s="39">
        <v>0</v>
      </c>
      <c r="O179" s="40">
        <v>0</v>
      </c>
      <c r="Q179" s="99" t="str">
        <f t="shared" si="123"/>
        <v>N/A</v>
      </c>
      <c r="R179" s="159" t="e">
        <f t="shared" si="124"/>
        <v>#N/A</v>
      </c>
      <c r="S179" s="159" t="e">
        <f t="shared" si="125"/>
        <v>#N/A</v>
      </c>
      <c r="T179" s="95" t="e">
        <f t="shared" si="126"/>
        <v>#N/A</v>
      </c>
      <c r="U179" s="95">
        <f t="shared" si="127"/>
        <v>0.05</v>
      </c>
    </row>
    <row r="180" spans="1:21" ht="15" x14ac:dyDescent="0.25">
      <c r="A180" s="41" t="str">
        <f t="shared" si="118"/>
        <v>N/A</v>
      </c>
      <c r="B180" s="108">
        <v>1</v>
      </c>
      <c r="C180" s="37" t="e">
        <f t="shared" si="119"/>
        <v>#N/A</v>
      </c>
      <c r="D180" s="77">
        <f t="shared" si="120"/>
        <v>0</v>
      </c>
      <c r="E180" s="39">
        <v>0</v>
      </c>
      <c r="F180" s="39">
        <v>0</v>
      </c>
      <c r="G180" s="39">
        <v>0</v>
      </c>
      <c r="H180" s="39">
        <v>0</v>
      </c>
      <c r="I180" s="108">
        <v>1</v>
      </c>
      <c r="J180" s="37" t="e">
        <f t="shared" si="121"/>
        <v>#N/A</v>
      </c>
      <c r="K180" s="77">
        <f t="shared" si="122"/>
        <v>0</v>
      </c>
      <c r="L180" s="39">
        <v>0</v>
      </c>
      <c r="M180" s="39">
        <v>0</v>
      </c>
      <c r="N180" s="39">
        <v>0</v>
      </c>
      <c r="O180" s="40">
        <v>0</v>
      </c>
      <c r="Q180" s="99" t="str">
        <f t="shared" si="123"/>
        <v>N/A</v>
      </c>
      <c r="R180" s="159" t="e">
        <f t="shared" si="124"/>
        <v>#N/A</v>
      </c>
      <c r="S180" s="159" t="e">
        <f t="shared" si="125"/>
        <v>#N/A</v>
      </c>
      <c r="T180" s="95" t="e">
        <f t="shared" si="126"/>
        <v>#N/A</v>
      </c>
      <c r="U180" s="95">
        <f t="shared" si="127"/>
        <v>0.05</v>
      </c>
    </row>
    <row r="181" spans="1:21" ht="15" x14ac:dyDescent="0.25">
      <c r="A181" s="41" t="str">
        <f t="shared" si="118"/>
        <v>N/A</v>
      </c>
      <c r="B181" s="108">
        <v>1</v>
      </c>
      <c r="C181" s="37" t="e">
        <f t="shared" si="119"/>
        <v>#N/A</v>
      </c>
      <c r="D181" s="77">
        <f t="shared" si="120"/>
        <v>0</v>
      </c>
      <c r="E181" s="39">
        <v>0</v>
      </c>
      <c r="F181" s="39">
        <v>0</v>
      </c>
      <c r="G181" s="39">
        <v>0</v>
      </c>
      <c r="H181" s="39">
        <v>0</v>
      </c>
      <c r="I181" s="108">
        <v>1</v>
      </c>
      <c r="J181" s="37" t="e">
        <f t="shared" si="121"/>
        <v>#N/A</v>
      </c>
      <c r="K181" s="77">
        <f t="shared" si="122"/>
        <v>0</v>
      </c>
      <c r="L181" s="39">
        <v>0</v>
      </c>
      <c r="M181" s="39">
        <v>0</v>
      </c>
      <c r="N181" s="39">
        <v>0</v>
      </c>
      <c r="O181" s="40">
        <v>0</v>
      </c>
      <c r="Q181" s="99" t="str">
        <f t="shared" si="123"/>
        <v>N/A</v>
      </c>
      <c r="R181" s="159" t="e">
        <f t="shared" si="124"/>
        <v>#N/A</v>
      </c>
      <c r="S181" s="159" t="e">
        <f t="shared" si="125"/>
        <v>#N/A</v>
      </c>
      <c r="T181" s="95" t="e">
        <f t="shared" si="126"/>
        <v>#N/A</v>
      </c>
      <c r="U181" s="95">
        <f t="shared" si="127"/>
        <v>0.05</v>
      </c>
    </row>
    <row r="182" spans="1:21" ht="15" x14ac:dyDescent="0.25">
      <c r="A182" s="41" t="str">
        <f t="shared" si="118"/>
        <v>N/A</v>
      </c>
      <c r="B182" s="108">
        <v>1</v>
      </c>
      <c r="C182" s="37" t="e">
        <f t="shared" si="119"/>
        <v>#N/A</v>
      </c>
      <c r="D182" s="77">
        <f t="shared" si="120"/>
        <v>0</v>
      </c>
      <c r="E182" s="39">
        <v>0</v>
      </c>
      <c r="F182" s="39">
        <v>0</v>
      </c>
      <c r="G182" s="39">
        <v>0</v>
      </c>
      <c r="H182" s="39">
        <v>0</v>
      </c>
      <c r="I182" s="108">
        <v>1</v>
      </c>
      <c r="J182" s="37" t="e">
        <f t="shared" si="121"/>
        <v>#N/A</v>
      </c>
      <c r="K182" s="77">
        <f t="shared" si="122"/>
        <v>0</v>
      </c>
      <c r="L182" s="39">
        <v>0</v>
      </c>
      <c r="M182" s="39">
        <v>0</v>
      </c>
      <c r="N182" s="39">
        <v>0</v>
      </c>
      <c r="O182" s="40">
        <v>0</v>
      </c>
      <c r="Q182" s="99" t="str">
        <f t="shared" si="123"/>
        <v>N/A</v>
      </c>
      <c r="R182" s="159" t="e">
        <f t="shared" si="124"/>
        <v>#N/A</v>
      </c>
      <c r="S182" s="159" t="e">
        <f t="shared" si="125"/>
        <v>#N/A</v>
      </c>
      <c r="T182" s="95" t="e">
        <f t="shared" si="126"/>
        <v>#N/A</v>
      </c>
      <c r="U182" s="95">
        <f t="shared" si="127"/>
        <v>0.05</v>
      </c>
    </row>
    <row r="183" spans="1:21" ht="15" x14ac:dyDescent="0.25">
      <c r="A183" s="41" t="str">
        <f t="shared" si="118"/>
        <v>N/A</v>
      </c>
      <c r="B183" s="108">
        <v>1</v>
      </c>
      <c r="C183" s="37" t="e">
        <f t="shared" si="119"/>
        <v>#N/A</v>
      </c>
      <c r="D183" s="77">
        <f t="shared" si="120"/>
        <v>0</v>
      </c>
      <c r="E183" s="39">
        <v>0</v>
      </c>
      <c r="F183" s="39">
        <v>0</v>
      </c>
      <c r="G183" s="39">
        <v>0</v>
      </c>
      <c r="H183" s="39">
        <v>0</v>
      </c>
      <c r="I183" s="108">
        <v>1</v>
      </c>
      <c r="J183" s="37" t="e">
        <f t="shared" si="121"/>
        <v>#N/A</v>
      </c>
      <c r="K183" s="77">
        <f t="shared" si="122"/>
        <v>0</v>
      </c>
      <c r="L183" s="39">
        <v>0</v>
      </c>
      <c r="M183" s="39">
        <v>0</v>
      </c>
      <c r="N183" s="39">
        <v>0</v>
      </c>
      <c r="O183" s="40">
        <v>0</v>
      </c>
      <c r="Q183" s="99" t="str">
        <f t="shared" si="123"/>
        <v>N/A</v>
      </c>
      <c r="R183" s="159" t="e">
        <f t="shared" si="124"/>
        <v>#N/A</v>
      </c>
      <c r="S183" s="159" t="e">
        <f t="shared" si="125"/>
        <v>#N/A</v>
      </c>
      <c r="T183" s="95" t="e">
        <f t="shared" si="126"/>
        <v>#N/A</v>
      </c>
      <c r="U183" s="95">
        <f t="shared" si="127"/>
        <v>0.05</v>
      </c>
    </row>
    <row r="184" spans="1:21" ht="15" x14ac:dyDescent="0.25">
      <c r="A184" s="41" t="str">
        <f t="shared" si="118"/>
        <v>N/A</v>
      </c>
      <c r="B184" s="108">
        <v>1</v>
      </c>
      <c r="C184" s="37" t="e">
        <f t="shared" si="119"/>
        <v>#N/A</v>
      </c>
      <c r="D184" s="77">
        <f t="shared" si="120"/>
        <v>0</v>
      </c>
      <c r="E184" s="39">
        <v>0</v>
      </c>
      <c r="F184" s="39">
        <v>0</v>
      </c>
      <c r="G184" s="39">
        <v>0</v>
      </c>
      <c r="H184" s="39">
        <v>0</v>
      </c>
      <c r="I184" s="108">
        <v>1</v>
      </c>
      <c r="J184" s="37" t="e">
        <f t="shared" si="121"/>
        <v>#N/A</v>
      </c>
      <c r="K184" s="77">
        <f t="shared" si="122"/>
        <v>0</v>
      </c>
      <c r="L184" s="39">
        <v>0</v>
      </c>
      <c r="M184" s="39">
        <v>0</v>
      </c>
      <c r="N184" s="39">
        <v>0</v>
      </c>
      <c r="O184" s="40">
        <v>0</v>
      </c>
      <c r="Q184" s="99" t="str">
        <f t="shared" si="123"/>
        <v>N/A</v>
      </c>
      <c r="R184" s="159" t="e">
        <f t="shared" si="124"/>
        <v>#N/A</v>
      </c>
      <c r="S184" s="159" t="e">
        <f t="shared" si="125"/>
        <v>#N/A</v>
      </c>
      <c r="T184" s="95" t="e">
        <f t="shared" si="126"/>
        <v>#N/A</v>
      </c>
      <c r="U184" s="95">
        <f t="shared" si="127"/>
        <v>0.05</v>
      </c>
    </row>
    <row r="185" spans="1:21" ht="15.75" thickBot="1" x14ac:dyDescent="0.3">
      <c r="A185" s="42" t="str">
        <f t="shared" si="118"/>
        <v>N/A</v>
      </c>
      <c r="B185" s="114">
        <v>1</v>
      </c>
      <c r="C185" s="109" t="e">
        <f t="shared" si="119"/>
        <v>#N/A</v>
      </c>
      <c r="D185" s="23">
        <f t="shared" si="120"/>
        <v>0</v>
      </c>
      <c r="E185" s="112">
        <v>0</v>
      </c>
      <c r="F185" s="112">
        <v>0</v>
      </c>
      <c r="G185" s="112">
        <v>0</v>
      </c>
      <c r="H185" s="112">
        <v>0</v>
      </c>
      <c r="I185" s="114">
        <v>1</v>
      </c>
      <c r="J185" s="109" t="e">
        <f t="shared" si="121"/>
        <v>#N/A</v>
      </c>
      <c r="K185" s="23">
        <f t="shared" si="122"/>
        <v>0</v>
      </c>
      <c r="L185" s="112">
        <v>0</v>
      </c>
      <c r="M185" s="112">
        <v>0</v>
      </c>
      <c r="N185" s="112">
        <v>0</v>
      </c>
      <c r="O185" s="113">
        <v>0</v>
      </c>
      <c r="Q185" s="99" t="str">
        <f t="shared" si="123"/>
        <v>N/A</v>
      </c>
      <c r="R185" s="159" t="e">
        <f t="shared" si="124"/>
        <v>#N/A</v>
      </c>
      <c r="S185" s="159" t="e">
        <f t="shared" si="125"/>
        <v>#N/A</v>
      </c>
      <c r="T185" s="95" t="e">
        <f t="shared" si="126"/>
        <v>#N/A</v>
      </c>
      <c r="U185" s="95">
        <f t="shared" si="127"/>
        <v>0.05</v>
      </c>
    </row>
    <row r="186" spans="1:21" ht="14.25" thickBot="1" x14ac:dyDescent="0.3">
      <c r="A186" s="41"/>
      <c r="B186"/>
      <c r="C186" s="37"/>
      <c r="D186" s="24"/>
      <c r="E186" s="39"/>
      <c r="F186" s="39"/>
      <c r="G186" s="39"/>
      <c r="H186" s="39"/>
      <c r="I186"/>
      <c r="J186" s="38"/>
      <c r="K186" s="24"/>
      <c r="L186" s="39"/>
      <c r="M186" s="39"/>
      <c r="N186" s="39"/>
      <c r="O186" s="40"/>
    </row>
    <row r="187" spans="1:21" ht="16.5" thickBot="1" x14ac:dyDescent="0.3">
      <c r="A187" s="41"/>
      <c r="B187"/>
      <c r="C187" s="37"/>
      <c r="D187" s="24"/>
      <c r="E187" s="39"/>
      <c r="F187" s="39"/>
      <c r="G187" s="39"/>
      <c r="H187" s="39"/>
      <c r="I187"/>
      <c r="J187" s="38"/>
      <c r="K187" s="24"/>
      <c r="L187" s="39"/>
      <c r="M187" s="39"/>
      <c r="N187" s="39"/>
      <c r="O187" s="40"/>
      <c r="Q187" s="166" t="str">
        <f ca="1">'Espesor E3'!AC2</f>
        <v xml:space="preserve"> E3 /</v>
      </c>
      <c r="R187" s="167"/>
      <c r="S187" s="167"/>
      <c r="T187" s="167"/>
      <c r="U187" s="168"/>
    </row>
    <row r="188" spans="1:21" ht="16.5" thickBot="1" x14ac:dyDescent="0.3">
      <c r="A188" s="169" t="str">
        <f ca="1">REPT('Espesor E3'!AC2,32)</f>
        <v xml:space="preserve"> E3 / E3 / E3 / E3 / E3 / E3 / E3 / E3 / E3 / E3 / E3 / E3 / E3 / E3 / E3 / E3 / E3 / E3 / E3 / E3 / E3 / E3 / E3 / E3 / E3 / E3 / E3 / E3 / E3 / E3 / E3 / E3 /</v>
      </c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1"/>
      <c r="Q188" s="101" t="s">
        <v>61</v>
      </c>
      <c r="R188" s="102" t="s">
        <v>122</v>
      </c>
      <c r="S188" s="102" t="s">
        <v>123</v>
      </c>
      <c r="T188" s="102" t="s">
        <v>124</v>
      </c>
      <c r="U188" s="103" t="s">
        <v>125</v>
      </c>
    </row>
    <row r="189" spans="1:21" ht="15" x14ac:dyDescent="0.25">
      <c r="A189" s="115" t="str">
        <f>A54</f>
        <v>N/A</v>
      </c>
      <c r="B189" s="105">
        <v>1</v>
      </c>
      <c r="C189" s="106" t="e">
        <f>IF((VLOOKUP(A189,$A$54:$D$73,4,FALSE))="2D",(IF(B54&gt;C54,B189*($L$3+$L$5),B189*($L$3+$L$4))),((IF(B54&gt;C54,B189*($L$3+$L$5),B189*($L$3+$L$4)))))</f>
        <v>#N/A</v>
      </c>
      <c r="D189" s="107">
        <f>(E189*5.07+F189*2.85+G189*1.27+H189*0.71)</f>
        <v>0</v>
      </c>
      <c r="E189" s="110">
        <v>0</v>
      </c>
      <c r="F189" s="110">
        <v>0</v>
      </c>
      <c r="G189" s="110">
        <v>0</v>
      </c>
      <c r="H189" s="110">
        <v>0</v>
      </c>
      <c r="I189" s="105">
        <v>1</v>
      </c>
      <c r="J189" s="106" t="e">
        <f>IF((VLOOKUP(A189,$A$54:$D$73,4,FALSE))="2D",(IF(B54&lt;C54,I189*($L$3+$L$5),I189*($L$3+$L$4))),((IF(B54&lt;C54,I189*($L$3+$L$5),I189*($L$3+$L$4)))))</f>
        <v>#N/A</v>
      </c>
      <c r="K189" s="107">
        <f>(L189*5.07+M189*2.85+N189*1.27+O189*0.71)</f>
        <v>0</v>
      </c>
      <c r="L189" s="110">
        <v>0</v>
      </c>
      <c r="M189" s="110">
        <v>0</v>
      </c>
      <c r="N189" s="110">
        <v>0</v>
      </c>
      <c r="O189" s="111">
        <v>0</v>
      </c>
      <c r="Q189" s="100" t="str">
        <f>A189</f>
        <v>N/A</v>
      </c>
      <c r="R189" s="159" t="e">
        <f>IF(D54="2D",G189,IF(B54=(MIN(B54:C54)),G189,0))</f>
        <v>#N/A</v>
      </c>
      <c r="S189" s="159" t="e">
        <f>IF(D54="2D",N189,IF(C54=(MIN(B54:C54)),N189,0))</f>
        <v>#N/A</v>
      </c>
      <c r="T189" s="95" t="e">
        <f>K54-L54</f>
        <v>#N/A</v>
      </c>
      <c r="U189" s="95">
        <f>L54</f>
        <v>0.05</v>
      </c>
    </row>
    <row r="190" spans="1:21" ht="15" x14ac:dyDescent="0.25">
      <c r="A190" s="41" t="str">
        <f t="shared" ref="A190:A208" si="128">A55</f>
        <v>N/A</v>
      </c>
      <c r="B190" s="108">
        <v>1</v>
      </c>
      <c r="C190" s="37" t="e">
        <f t="shared" ref="C190:C208" si="129">IF((VLOOKUP(A190,$A$54:$D$73,4,FALSE))="2D",(IF(B55&gt;C55,B190*($L$3+$L$5),B190*($L$3+$L$4))),((IF(B55&gt;C55,B190*($L$3+$L$5),B190*($L$3+$L$4)))))</f>
        <v>#N/A</v>
      </c>
      <c r="D190" s="77">
        <f t="shared" ref="D190:D208" si="130">(E190*5.07+F190*2.85+G190*1.27+H190*0.71)</f>
        <v>0</v>
      </c>
      <c r="E190" s="39">
        <v>0</v>
      </c>
      <c r="F190" s="39">
        <v>0</v>
      </c>
      <c r="G190" s="39">
        <v>0</v>
      </c>
      <c r="H190" s="39">
        <v>0</v>
      </c>
      <c r="I190" s="108">
        <v>1</v>
      </c>
      <c r="J190" s="37" t="e">
        <f t="shared" ref="J190:J208" si="131">IF((VLOOKUP(A190,$A$54:$D$73,4,FALSE))="2D",(IF(B55&lt;C55,I190*($L$3+$L$5),I190*($L$3+$L$4))),((IF(B55&lt;C55,I190*($L$3+$L$5),I190*($L$3+$L$4)))))</f>
        <v>#N/A</v>
      </c>
      <c r="K190" s="77">
        <f t="shared" ref="K190:K208" si="132">(L190*5.07+M190*2.85+N190*1.27+O190*0.71)</f>
        <v>0</v>
      </c>
      <c r="L190" s="39">
        <v>0</v>
      </c>
      <c r="M190" s="39">
        <v>0</v>
      </c>
      <c r="N190" s="39">
        <v>0</v>
      </c>
      <c r="O190" s="40">
        <v>0</v>
      </c>
      <c r="Q190" s="99" t="str">
        <f t="shared" ref="Q190:Q208" si="133">A190</f>
        <v>N/A</v>
      </c>
      <c r="R190" s="159" t="e">
        <f t="shared" ref="R190:R208" si="134">IF(D55="2D",G190,IF(B55=(MIN(B55:C55)),G190,0))</f>
        <v>#N/A</v>
      </c>
      <c r="S190" s="159" t="e">
        <f t="shared" ref="S190:S208" si="135">IF(D55="2D",N190,IF(C55=(MIN(B55:C55)),N190,0))</f>
        <v>#N/A</v>
      </c>
      <c r="T190" s="95" t="e">
        <f t="shared" ref="T190:T208" si="136">K55-L55</f>
        <v>#N/A</v>
      </c>
      <c r="U190" s="95">
        <f t="shared" ref="U190:U208" si="137">L55</f>
        <v>0.05</v>
      </c>
    </row>
    <row r="191" spans="1:21" ht="15" x14ac:dyDescent="0.25">
      <c r="A191" s="41" t="str">
        <f t="shared" si="128"/>
        <v>N/A</v>
      </c>
      <c r="B191" s="108">
        <v>1</v>
      </c>
      <c r="C191" s="37" t="e">
        <f t="shared" si="129"/>
        <v>#N/A</v>
      </c>
      <c r="D191" s="77">
        <f t="shared" si="130"/>
        <v>0</v>
      </c>
      <c r="E191" s="39">
        <v>0</v>
      </c>
      <c r="F191" s="39">
        <v>0</v>
      </c>
      <c r="G191" s="39">
        <v>0</v>
      </c>
      <c r="H191" s="39">
        <v>0</v>
      </c>
      <c r="I191" s="108">
        <v>1</v>
      </c>
      <c r="J191" s="37" t="e">
        <f t="shared" si="131"/>
        <v>#N/A</v>
      </c>
      <c r="K191" s="77">
        <f t="shared" si="132"/>
        <v>0</v>
      </c>
      <c r="L191" s="39">
        <v>0</v>
      </c>
      <c r="M191" s="39">
        <v>0</v>
      </c>
      <c r="N191" s="39">
        <v>0</v>
      </c>
      <c r="O191" s="40">
        <v>0</v>
      </c>
      <c r="Q191" s="99" t="str">
        <f t="shared" si="133"/>
        <v>N/A</v>
      </c>
      <c r="R191" s="159" t="e">
        <f t="shared" si="134"/>
        <v>#N/A</v>
      </c>
      <c r="S191" s="159" t="e">
        <f t="shared" si="135"/>
        <v>#N/A</v>
      </c>
      <c r="T191" s="95" t="e">
        <f t="shared" si="136"/>
        <v>#N/A</v>
      </c>
      <c r="U191" s="95">
        <f t="shared" si="137"/>
        <v>0.05</v>
      </c>
    </row>
    <row r="192" spans="1:21" ht="15" x14ac:dyDescent="0.25">
      <c r="A192" s="41" t="str">
        <f t="shared" si="128"/>
        <v>N/A</v>
      </c>
      <c r="B192" s="108">
        <v>1</v>
      </c>
      <c r="C192" s="37" t="e">
        <f t="shared" si="129"/>
        <v>#N/A</v>
      </c>
      <c r="D192" s="77">
        <f t="shared" si="130"/>
        <v>0</v>
      </c>
      <c r="E192" s="39">
        <v>0</v>
      </c>
      <c r="F192" s="39">
        <v>0</v>
      </c>
      <c r="G192" s="39">
        <v>0</v>
      </c>
      <c r="H192" s="39">
        <v>0</v>
      </c>
      <c r="I192" s="108">
        <v>1</v>
      </c>
      <c r="J192" s="37" t="e">
        <f t="shared" si="131"/>
        <v>#N/A</v>
      </c>
      <c r="K192" s="77">
        <f t="shared" si="132"/>
        <v>0</v>
      </c>
      <c r="L192" s="39">
        <v>0</v>
      </c>
      <c r="M192" s="39">
        <v>0</v>
      </c>
      <c r="N192" s="39">
        <v>0</v>
      </c>
      <c r="O192" s="40">
        <v>0</v>
      </c>
      <c r="Q192" s="99" t="str">
        <f t="shared" si="133"/>
        <v>N/A</v>
      </c>
      <c r="R192" s="159" t="e">
        <f t="shared" si="134"/>
        <v>#N/A</v>
      </c>
      <c r="S192" s="159" t="e">
        <f t="shared" si="135"/>
        <v>#N/A</v>
      </c>
      <c r="T192" s="95" t="e">
        <f t="shared" si="136"/>
        <v>#N/A</v>
      </c>
      <c r="U192" s="95">
        <f t="shared" si="137"/>
        <v>0.05</v>
      </c>
    </row>
    <row r="193" spans="1:21" ht="15" x14ac:dyDescent="0.25">
      <c r="A193" s="41" t="str">
        <f t="shared" si="128"/>
        <v>N/A</v>
      </c>
      <c r="B193" s="108">
        <v>1</v>
      </c>
      <c r="C193" s="37" t="e">
        <f t="shared" si="129"/>
        <v>#N/A</v>
      </c>
      <c r="D193" s="77">
        <f t="shared" si="130"/>
        <v>0</v>
      </c>
      <c r="E193" s="39">
        <v>0</v>
      </c>
      <c r="F193" s="39">
        <v>0</v>
      </c>
      <c r="G193" s="39">
        <v>0</v>
      </c>
      <c r="H193" s="39">
        <v>0</v>
      </c>
      <c r="I193" s="108">
        <v>1</v>
      </c>
      <c r="J193" s="37" t="e">
        <f t="shared" si="131"/>
        <v>#N/A</v>
      </c>
      <c r="K193" s="77">
        <f t="shared" si="132"/>
        <v>0</v>
      </c>
      <c r="L193" s="39">
        <v>0</v>
      </c>
      <c r="M193" s="39">
        <v>0</v>
      </c>
      <c r="N193" s="39">
        <v>0</v>
      </c>
      <c r="O193" s="40">
        <v>0</v>
      </c>
      <c r="Q193" s="99" t="str">
        <f t="shared" si="133"/>
        <v>N/A</v>
      </c>
      <c r="R193" s="159" t="e">
        <f t="shared" si="134"/>
        <v>#N/A</v>
      </c>
      <c r="S193" s="159" t="e">
        <f t="shared" si="135"/>
        <v>#N/A</v>
      </c>
      <c r="T193" s="95" t="e">
        <f t="shared" si="136"/>
        <v>#N/A</v>
      </c>
      <c r="U193" s="95">
        <f t="shared" si="137"/>
        <v>0.05</v>
      </c>
    </row>
    <row r="194" spans="1:21" ht="15" x14ac:dyDescent="0.25">
      <c r="A194" s="41" t="str">
        <f t="shared" si="128"/>
        <v>N/A</v>
      </c>
      <c r="B194" s="108">
        <v>1</v>
      </c>
      <c r="C194" s="37" t="e">
        <f t="shared" si="129"/>
        <v>#N/A</v>
      </c>
      <c r="D194" s="77">
        <f t="shared" si="130"/>
        <v>0</v>
      </c>
      <c r="E194" s="39">
        <v>0</v>
      </c>
      <c r="F194" s="39">
        <v>0</v>
      </c>
      <c r="G194" s="39">
        <v>0</v>
      </c>
      <c r="H194" s="39">
        <v>0</v>
      </c>
      <c r="I194" s="108">
        <v>1</v>
      </c>
      <c r="J194" s="37" t="e">
        <f t="shared" si="131"/>
        <v>#N/A</v>
      </c>
      <c r="K194" s="77">
        <f t="shared" si="132"/>
        <v>0</v>
      </c>
      <c r="L194" s="39">
        <v>0</v>
      </c>
      <c r="M194" s="39">
        <v>0</v>
      </c>
      <c r="N194" s="39">
        <v>0</v>
      </c>
      <c r="O194" s="40">
        <v>0</v>
      </c>
      <c r="Q194" s="99" t="str">
        <f t="shared" si="133"/>
        <v>N/A</v>
      </c>
      <c r="R194" s="159" t="e">
        <f t="shared" si="134"/>
        <v>#N/A</v>
      </c>
      <c r="S194" s="159" t="e">
        <f t="shared" si="135"/>
        <v>#N/A</v>
      </c>
      <c r="T194" s="95" t="e">
        <f t="shared" si="136"/>
        <v>#N/A</v>
      </c>
      <c r="U194" s="95">
        <f t="shared" si="137"/>
        <v>0.05</v>
      </c>
    </row>
    <row r="195" spans="1:21" ht="15" x14ac:dyDescent="0.25">
      <c r="A195" s="41" t="str">
        <f t="shared" si="128"/>
        <v>N/A</v>
      </c>
      <c r="B195" s="108">
        <v>1</v>
      </c>
      <c r="C195" s="37" t="e">
        <f t="shared" si="129"/>
        <v>#N/A</v>
      </c>
      <c r="D195" s="77">
        <f t="shared" si="130"/>
        <v>0</v>
      </c>
      <c r="E195" s="39">
        <v>0</v>
      </c>
      <c r="F195" s="39">
        <v>0</v>
      </c>
      <c r="G195" s="39">
        <v>0</v>
      </c>
      <c r="H195" s="39">
        <v>0</v>
      </c>
      <c r="I195" s="108">
        <v>1</v>
      </c>
      <c r="J195" s="37" t="e">
        <f t="shared" si="131"/>
        <v>#N/A</v>
      </c>
      <c r="K195" s="77">
        <f t="shared" si="132"/>
        <v>0</v>
      </c>
      <c r="L195" s="39">
        <v>0</v>
      </c>
      <c r="M195" s="39">
        <v>0</v>
      </c>
      <c r="N195" s="39">
        <v>0</v>
      </c>
      <c r="O195" s="40">
        <v>0</v>
      </c>
      <c r="Q195" s="99" t="str">
        <f t="shared" si="133"/>
        <v>N/A</v>
      </c>
      <c r="R195" s="159" t="e">
        <f t="shared" si="134"/>
        <v>#N/A</v>
      </c>
      <c r="S195" s="159" t="e">
        <f t="shared" si="135"/>
        <v>#N/A</v>
      </c>
      <c r="T195" s="95" t="e">
        <f t="shared" si="136"/>
        <v>#N/A</v>
      </c>
      <c r="U195" s="95">
        <f t="shared" si="137"/>
        <v>0.05</v>
      </c>
    </row>
    <row r="196" spans="1:21" ht="15" x14ac:dyDescent="0.25">
      <c r="A196" s="41" t="str">
        <f t="shared" si="128"/>
        <v>N/A</v>
      </c>
      <c r="B196" s="108">
        <v>1</v>
      </c>
      <c r="C196" s="37" t="e">
        <f t="shared" si="129"/>
        <v>#N/A</v>
      </c>
      <c r="D196" s="77">
        <f t="shared" si="130"/>
        <v>0</v>
      </c>
      <c r="E196" s="39">
        <v>0</v>
      </c>
      <c r="F196" s="39">
        <v>0</v>
      </c>
      <c r="G196" s="39">
        <v>0</v>
      </c>
      <c r="H196" s="39">
        <v>0</v>
      </c>
      <c r="I196" s="108">
        <v>1</v>
      </c>
      <c r="J196" s="37" t="e">
        <f t="shared" si="131"/>
        <v>#N/A</v>
      </c>
      <c r="K196" s="77">
        <f t="shared" si="132"/>
        <v>0</v>
      </c>
      <c r="L196" s="39">
        <v>0</v>
      </c>
      <c r="M196" s="39">
        <v>0</v>
      </c>
      <c r="N196" s="39">
        <v>0</v>
      </c>
      <c r="O196" s="40">
        <v>0</v>
      </c>
      <c r="Q196" s="99" t="str">
        <f t="shared" si="133"/>
        <v>N/A</v>
      </c>
      <c r="R196" s="159" t="e">
        <f t="shared" si="134"/>
        <v>#N/A</v>
      </c>
      <c r="S196" s="159" t="e">
        <f t="shared" si="135"/>
        <v>#N/A</v>
      </c>
      <c r="T196" s="95" t="e">
        <f t="shared" si="136"/>
        <v>#N/A</v>
      </c>
      <c r="U196" s="95">
        <f t="shared" si="137"/>
        <v>0.05</v>
      </c>
    </row>
    <row r="197" spans="1:21" ht="15" x14ac:dyDescent="0.25">
      <c r="A197" s="41" t="str">
        <f t="shared" si="128"/>
        <v>N/A</v>
      </c>
      <c r="B197" s="108">
        <v>1</v>
      </c>
      <c r="C197" s="37" t="e">
        <f t="shared" si="129"/>
        <v>#N/A</v>
      </c>
      <c r="D197" s="77">
        <f t="shared" si="130"/>
        <v>0</v>
      </c>
      <c r="E197" s="39">
        <v>0</v>
      </c>
      <c r="F197" s="39">
        <v>0</v>
      </c>
      <c r="G197" s="39">
        <v>0</v>
      </c>
      <c r="H197" s="39">
        <v>0</v>
      </c>
      <c r="I197" s="108">
        <v>1</v>
      </c>
      <c r="J197" s="37" t="e">
        <f t="shared" si="131"/>
        <v>#N/A</v>
      </c>
      <c r="K197" s="77">
        <f t="shared" si="132"/>
        <v>0</v>
      </c>
      <c r="L197" s="39">
        <v>0</v>
      </c>
      <c r="M197" s="39">
        <v>0</v>
      </c>
      <c r="N197" s="39">
        <v>0</v>
      </c>
      <c r="O197" s="40">
        <v>0</v>
      </c>
      <c r="Q197" s="99" t="str">
        <f t="shared" si="133"/>
        <v>N/A</v>
      </c>
      <c r="R197" s="159" t="e">
        <f t="shared" si="134"/>
        <v>#N/A</v>
      </c>
      <c r="S197" s="159" t="e">
        <f t="shared" si="135"/>
        <v>#N/A</v>
      </c>
      <c r="T197" s="95" t="e">
        <f t="shared" si="136"/>
        <v>#N/A</v>
      </c>
      <c r="U197" s="95">
        <f t="shared" si="137"/>
        <v>0.05</v>
      </c>
    </row>
    <row r="198" spans="1:21" ht="15" x14ac:dyDescent="0.25">
      <c r="A198" s="41" t="str">
        <f t="shared" si="128"/>
        <v>N/A</v>
      </c>
      <c r="B198" s="108">
        <v>1</v>
      </c>
      <c r="C198" s="37" t="e">
        <f t="shared" si="129"/>
        <v>#N/A</v>
      </c>
      <c r="D198" s="77">
        <f t="shared" si="130"/>
        <v>0</v>
      </c>
      <c r="E198" s="39">
        <v>0</v>
      </c>
      <c r="F198" s="39">
        <v>0</v>
      </c>
      <c r="G198" s="39">
        <v>0</v>
      </c>
      <c r="H198" s="39">
        <v>0</v>
      </c>
      <c r="I198" s="108">
        <v>1</v>
      </c>
      <c r="J198" s="37" t="e">
        <f t="shared" si="131"/>
        <v>#N/A</v>
      </c>
      <c r="K198" s="77">
        <f t="shared" si="132"/>
        <v>0</v>
      </c>
      <c r="L198" s="39">
        <v>0</v>
      </c>
      <c r="M198" s="39">
        <v>0</v>
      </c>
      <c r="N198" s="39">
        <v>0</v>
      </c>
      <c r="O198" s="40">
        <v>0</v>
      </c>
      <c r="Q198" s="99" t="str">
        <f t="shared" si="133"/>
        <v>N/A</v>
      </c>
      <c r="R198" s="159" t="e">
        <f t="shared" si="134"/>
        <v>#N/A</v>
      </c>
      <c r="S198" s="159" t="e">
        <f t="shared" si="135"/>
        <v>#N/A</v>
      </c>
      <c r="T198" s="95" t="e">
        <f t="shared" si="136"/>
        <v>#N/A</v>
      </c>
      <c r="U198" s="95">
        <f t="shared" si="137"/>
        <v>0.05</v>
      </c>
    </row>
    <row r="199" spans="1:21" ht="15" x14ac:dyDescent="0.25">
      <c r="A199" s="41" t="str">
        <f t="shared" si="128"/>
        <v>N/A</v>
      </c>
      <c r="B199" s="108">
        <v>1</v>
      </c>
      <c r="C199" s="37" t="e">
        <f t="shared" si="129"/>
        <v>#N/A</v>
      </c>
      <c r="D199" s="77">
        <f t="shared" si="130"/>
        <v>0</v>
      </c>
      <c r="E199" s="39">
        <v>0</v>
      </c>
      <c r="F199" s="39">
        <v>0</v>
      </c>
      <c r="G199" s="39">
        <v>0</v>
      </c>
      <c r="H199" s="39">
        <v>0</v>
      </c>
      <c r="I199" s="108">
        <v>1</v>
      </c>
      <c r="J199" s="37" t="e">
        <f t="shared" si="131"/>
        <v>#N/A</v>
      </c>
      <c r="K199" s="77">
        <f t="shared" si="132"/>
        <v>0</v>
      </c>
      <c r="L199" s="39">
        <v>0</v>
      </c>
      <c r="M199" s="39">
        <v>0</v>
      </c>
      <c r="N199" s="39">
        <v>0</v>
      </c>
      <c r="O199" s="40">
        <v>0</v>
      </c>
      <c r="Q199" s="99" t="str">
        <f t="shared" si="133"/>
        <v>N/A</v>
      </c>
      <c r="R199" s="159" t="e">
        <f t="shared" si="134"/>
        <v>#N/A</v>
      </c>
      <c r="S199" s="159" t="e">
        <f t="shared" si="135"/>
        <v>#N/A</v>
      </c>
      <c r="T199" s="95" t="e">
        <f t="shared" si="136"/>
        <v>#N/A</v>
      </c>
      <c r="U199" s="95">
        <f t="shared" si="137"/>
        <v>0.05</v>
      </c>
    </row>
    <row r="200" spans="1:21" ht="15" x14ac:dyDescent="0.25">
      <c r="A200" s="41" t="str">
        <f t="shared" si="128"/>
        <v>N/A</v>
      </c>
      <c r="B200" s="108">
        <v>1</v>
      </c>
      <c r="C200" s="37" t="e">
        <f t="shared" si="129"/>
        <v>#N/A</v>
      </c>
      <c r="D200" s="77">
        <f t="shared" si="130"/>
        <v>0</v>
      </c>
      <c r="E200" s="39">
        <v>0</v>
      </c>
      <c r="F200" s="39">
        <v>0</v>
      </c>
      <c r="G200" s="39">
        <v>0</v>
      </c>
      <c r="H200" s="39">
        <v>0</v>
      </c>
      <c r="I200" s="108">
        <v>1</v>
      </c>
      <c r="J200" s="37" t="e">
        <f t="shared" si="131"/>
        <v>#N/A</v>
      </c>
      <c r="K200" s="77">
        <f t="shared" si="132"/>
        <v>0</v>
      </c>
      <c r="L200" s="39">
        <v>0</v>
      </c>
      <c r="M200" s="39">
        <v>0</v>
      </c>
      <c r="N200" s="39">
        <v>0</v>
      </c>
      <c r="O200" s="40">
        <v>0</v>
      </c>
      <c r="Q200" s="99" t="str">
        <f t="shared" si="133"/>
        <v>N/A</v>
      </c>
      <c r="R200" s="159" t="e">
        <f t="shared" si="134"/>
        <v>#N/A</v>
      </c>
      <c r="S200" s="159" t="e">
        <f t="shared" si="135"/>
        <v>#N/A</v>
      </c>
      <c r="T200" s="95" t="e">
        <f t="shared" si="136"/>
        <v>#N/A</v>
      </c>
      <c r="U200" s="95">
        <f t="shared" si="137"/>
        <v>0.05</v>
      </c>
    </row>
    <row r="201" spans="1:21" ht="15" x14ac:dyDescent="0.25">
      <c r="A201" s="41" t="str">
        <f t="shared" si="128"/>
        <v>N/A</v>
      </c>
      <c r="B201" s="108">
        <v>1</v>
      </c>
      <c r="C201" s="37" t="e">
        <f t="shared" si="129"/>
        <v>#N/A</v>
      </c>
      <c r="D201" s="77">
        <f t="shared" si="130"/>
        <v>0</v>
      </c>
      <c r="E201" s="39">
        <v>0</v>
      </c>
      <c r="F201" s="39">
        <v>0</v>
      </c>
      <c r="G201" s="39">
        <v>0</v>
      </c>
      <c r="H201" s="39">
        <v>0</v>
      </c>
      <c r="I201" s="108">
        <v>1</v>
      </c>
      <c r="J201" s="37" t="e">
        <f t="shared" si="131"/>
        <v>#N/A</v>
      </c>
      <c r="K201" s="77">
        <f t="shared" si="132"/>
        <v>0</v>
      </c>
      <c r="L201" s="39">
        <v>0</v>
      </c>
      <c r="M201" s="39">
        <v>0</v>
      </c>
      <c r="N201" s="39">
        <v>0</v>
      </c>
      <c r="O201" s="40">
        <v>0</v>
      </c>
      <c r="Q201" s="99" t="str">
        <f t="shared" si="133"/>
        <v>N/A</v>
      </c>
      <c r="R201" s="159" t="e">
        <f t="shared" si="134"/>
        <v>#N/A</v>
      </c>
      <c r="S201" s="159" t="e">
        <f t="shared" si="135"/>
        <v>#N/A</v>
      </c>
      <c r="T201" s="95" t="e">
        <f t="shared" si="136"/>
        <v>#N/A</v>
      </c>
      <c r="U201" s="95">
        <f t="shared" si="137"/>
        <v>0.05</v>
      </c>
    </row>
    <row r="202" spans="1:21" ht="15" x14ac:dyDescent="0.25">
      <c r="A202" s="41" t="str">
        <f t="shared" si="128"/>
        <v>N/A</v>
      </c>
      <c r="B202" s="108">
        <v>1</v>
      </c>
      <c r="C202" s="37" t="e">
        <f t="shared" si="129"/>
        <v>#N/A</v>
      </c>
      <c r="D202" s="77">
        <f t="shared" si="130"/>
        <v>0</v>
      </c>
      <c r="E202" s="39">
        <v>0</v>
      </c>
      <c r="F202" s="39">
        <v>0</v>
      </c>
      <c r="G202" s="39">
        <v>0</v>
      </c>
      <c r="H202" s="39">
        <v>0</v>
      </c>
      <c r="I202" s="108">
        <v>1</v>
      </c>
      <c r="J202" s="37" t="e">
        <f t="shared" si="131"/>
        <v>#N/A</v>
      </c>
      <c r="K202" s="77">
        <f t="shared" si="132"/>
        <v>0</v>
      </c>
      <c r="L202" s="39">
        <v>0</v>
      </c>
      <c r="M202" s="39">
        <v>0</v>
      </c>
      <c r="N202" s="39">
        <v>0</v>
      </c>
      <c r="O202" s="40">
        <v>0</v>
      </c>
      <c r="Q202" s="99" t="str">
        <f t="shared" si="133"/>
        <v>N/A</v>
      </c>
      <c r="R202" s="159" t="e">
        <f t="shared" si="134"/>
        <v>#N/A</v>
      </c>
      <c r="S202" s="159" t="e">
        <f t="shared" si="135"/>
        <v>#N/A</v>
      </c>
      <c r="T202" s="95" t="e">
        <f t="shared" si="136"/>
        <v>#N/A</v>
      </c>
      <c r="U202" s="95">
        <f t="shared" si="137"/>
        <v>0.05</v>
      </c>
    </row>
    <row r="203" spans="1:21" ht="15" x14ac:dyDescent="0.25">
      <c r="A203" s="41" t="str">
        <f t="shared" si="128"/>
        <v>N/A</v>
      </c>
      <c r="B203" s="108">
        <v>1</v>
      </c>
      <c r="C203" s="37" t="e">
        <f t="shared" si="129"/>
        <v>#N/A</v>
      </c>
      <c r="D203" s="77">
        <f t="shared" si="130"/>
        <v>0</v>
      </c>
      <c r="E203" s="39">
        <v>0</v>
      </c>
      <c r="F203" s="39">
        <v>0</v>
      </c>
      <c r="G203" s="39">
        <v>0</v>
      </c>
      <c r="H203" s="39">
        <v>0</v>
      </c>
      <c r="I203" s="108">
        <v>1</v>
      </c>
      <c r="J203" s="37" t="e">
        <f t="shared" si="131"/>
        <v>#N/A</v>
      </c>
      <c r="K203" s="77">
        <f t="shared" si="132"/>
        <v>0</v>
      </c>
      <c r="L203" s="39">
        <v>0</v>
      </c>
      <c r="M203" s="39">
        <v>0</v>
      </c>
      <c r="N203" s="39">
        <v>0</v>
      </c>
      <c r="O203" s="40">
        <v>0</v>
      </c>
      <c r="Q203" s="99" t="str">
        <f t="shared" si="133"/>
        <v>N/A</v>
      </c>
      <c r="R203" s="159" t="e">
        <f t="shared" si="134"/>
        <v>#N/A</v>
      </c>
      <c r="S203" s="159" t="e">
        <f t="shared" si="135"/>
        <v>#N/A</v>
      </c>
      <c r="T203" s="95" t="e">
        <f t="shared" si="136"/>
        <v>#N/A</v>
      </c>
      <c r="U203" s="95">
        <f t="shared" si="137"/>
        <v>0.05</v>
      </c>
    </row>
    <row r="204" spans="1:21" ht="15" x14ac:dyDescent="0.25">
      <c r="A204" s="41" t="str">
        <f t="shared" si="128"/>
        <v>N/A</v>
      </c>
      <c r="B204" s="108">
        <v>1</v>
      </c>
      <c r="C204" s="37" t="e">
        <f t="shared" si="129"/>
        <v>#N/A</v>
      </c>
      <c r="D204" s="77">
        <f t="shared" si="130"/>
        <v>0</v>
      </c>
      <c r="E204" s="39">
        <v>0</v>
      </c>
      <c r="F204" s="39">
        <v>0</v>
      </c>
      <c r="G204" s="39">
        <v>0</v>
      </c>
      <c r="H204" s="39">
        <v>0</v>
      </c>
      <c r="I204" s="108">
        <v>1</v>
      </c>
      <c r="J204" s="37" t="e">
        <f t="shared" si="131"/>
        <v>#N/A</v>
      </c>
      <c r="K204" s="77">
        <f t="shared" si="132"/>
        <v>0</v>
      </c>
      <c r="L204" s="39">
        <v>0</v>
      </c>
      <c r="M204" s="39">
        <v>0</v>
      </c>
      <c r="N204" s="39">
        <v>0</v>
      </c>
      <c r="O204" s="40">
        <v>0</v>
      </c>
      <c r="Q204" s="99" t="str">
        <f t="shared" si="133"/>
        <v>N/A</v>
      </c>
      <c r="R204" s="159" t="e">
        <f t="shared" si="134"/>
        <v>#N/A</v>
      </c>
      <c r="S204" s="159" t="e">
        <f t="shared" si="135"/>
        <v>#N/A</v>
      </c>
      <c r="T204" s="95" t="e">
        <f t="shared" si="136"/>
        <v>#N/A</v>
      </c>
      <c r="U204" s="95">
        <f t="shared" si="137"/>
        <v>0.05</v>
      </c>
    </row>
    <row r="205" spans="1:21" ht="15" x14ac:dyDescent="0.25">
      <c r="A205" s="41" t="str">
        <f t="shared" si="128"/>
        <v>N/A</v>
      </c>
      <c r="B205" s="108">
        <v>1</v>
      </c>
      <c r="C205" s="37" t="e">
        <f t="shared" si="129"/>
        <v>#N/A</v>
      </c>
      <c r="D205" s="77">
        <f t="shared" si="130"/>
        <v>0</v>
      </c>
      <c r="E205" s="39">
        <v>0</v>
      </c>
      <c r="F205" s="39">
        <v>0</v>
      </c>
      <c r="G205" s="39">
        <v>0</v>
      </c>
      <c r="H205" s="39">
        <v>0</v>
      </c>
      <c r="I205" s="108">
        <v>1</v>
      </c>
      <c r="J205" s="37" t="e">
        <f t="shared" si="131"/>
        <v>#N/A</v>
      </c>
      <c r="K205" s="77">
        <f t="shared" si="132"/>
        <v>0</v>
      </c>
      <c r="L205" s="39">
        <v>0</v>
      </c>
      <c r="M205" s="39">
        <v>0</v>
      </c>
      <c r="N205" s="39">
        <v>0</v>
      </c>
      <c r="O205" s="40">
        <v>0</v>
      </c>
      <c r="Q205" s="99" t="str">
        <f t="shared" si="133"/>
        <v>N/A</v>
      </c>
      <c r="R205" s="159" t="e">
        <f t="shared" si="134"/>
        <v>#N/A</v>
      </c>
      <c r="S205" s="159" t="e">
        <f t="shared" si="135"/>
        <v>#N/A</v>
      </c>
      <c r="T205" s="95" t="e">
        <f t="shared" si="136"/>
        <v>#N/A</v>
      </c>
      <c r="U205" s="95">
        <f t="shared" si="137"/>
        <v>0.05</v>
      </c>
    </row>
    <row r="206" spans="1:21" ht="15" x14ac:dyDescent="0.25">
      <c r="A206" s="41" t="str">
        <f t="shared" si="128"/>
        <v>N/A</v>
      </c>
      <c r="B206" s="108">
        <v>1</v>
      </c>
      <c r="C206" s="37" t="e">
        <f t="shared" si="129"/>
        <v>#N/A</v>
      </c>
      <c r="D206" s="77">
        <f t="shared" si="130"/>
        <v>0</v>
      </c>
      <c r="E206" s="39">
        <v>0</v>
      </c>
      <c r="F206" s="39">
        <v>0</v>
      </c>
      <c r="G206" s="39">
        <v>0</v>
      </c>
      <c r="H206" s="39">
        <v>0</v>
      </c>
      <c r="I206" s="108">
        <v>1</v>
      </c>
      <c r="J206" s="37" t="e">
        <f t="shared" si="131"/>
        <v>#N/A</v>
      </c>
      <c r="K206" s="77">
        <f t="shared" si="132"/>
        <v>0</v>
      </c>
      <c r="L206" s="39">
        <v>0</v>
      </c>
      <c r="M206" s="39">
        <v>0</v>
      </c>
      <c r="N206" s="39">
        <v>0</v>
      </c>
      <c r="O206" s="40">
        <v>0</v>
      </c>
      <c r="Q206" s="99" t="str">
        <f t="shared" si="133"/>
        <v>N/A</v>
      </c>
      <c r="R206" s="159" t="e">
        <f t="shared" si="134"/>
        <v>#N/A</v>
      </c>
      <c r="S206" s="159" t="e">
        <f t="shared" si="135"/>
        <v>#N/A</v>
      </c>
      <c r="T206" s="95" t="e">
        <f t="shared" si="136"/>
        <v>#N/A</v>
      </c>
      <c r="U206" s="95">
        <f t="shared" si="137"/>
        <v>0.05</v>
      </c>
    </row>
    <row r="207" spans="1:21" ht="15" x14ac:dyDescent="0.25">
      <c r="A207" s="41" t="str">
        <f t="shared" si="128"/>
        <v>N/A</v>
      </c>
      <c r="B207" s="108">
        <v>1</v>
      </c>
      <c r="C207" s="37" t="e">
        <f t="shared" si="129"/>
        <v>#N/A</v>
      </c>
      <c r="D207" s="77">
        <f t="shared" si="130"/>
        <v>0</v>
      </c>
      <c r="E207" s="39">
        <v>0</v>
      </c>
      <c r="F207" s="39">
        <v>0</v>
      </c>
      <c r="G207" s="39">
        <v>0</v>
      </c>
      <c r="H207" s="39">
        <v>0</v>
      </c>
      <c r="I207" s="108">
        <v>1</v>
      </c>
      <c r="J207" s="37" t="e">
        <f t="shared" si="131"/>
        <v>#N/A</v>
      </c>
      <c r="K207" s="77">
        <f t="shared" si="132"/>
        <v>0</v>
      </c>
      <c r="L207" s="39">
        <v>0</v>
      </c>
      <c r="M207" s="39">
        <v>0</v>
      </c>
      <c r="N207" s="39">
        <v>0</v>
      </c>
      <c r="O207" s="40">
        <v>0</v>
      </c>
      <c r="Q207" s="99" t="str">
        <f t="shared" si="133"/>
        <v>N/A</v>
      </c>
      <c r="R207" s="159" t="e">
        <f t="shared" si="134"/>
        <v>#N/A</v>
      </c>
      <c r="S207" s="159" t="e">
        <f t="shared" si="135"/>
        <v>#N/A</v>
      </c>
      <c r="T207" s="95" t="e">
        <f t="shared" si="136"/>
        <v>#N/A</v>
      </c>
      <c r="U207" s="95">
        <f t="shared" si="137"/>
        <v>0.05</v>
      </c>
    </row>
    <row r="208" spans="1:21" ht="15.75" thickBot="1" x14ac:dyDescent="0.3">
      <c r="A208" s="42" t="str">
        <f t="shared" si="128"/>
        <v>N/A</v>
      </c>
      <c r="B208" s="114">
        <v>1</v>
      </c>
      <c r="C208" s="109" t="e">
        <f t="shared" si="129"/>
        <v>#N/A</v>
      </c>
      <c r="D208" s="23">
        <f t="shared" si="130"/>
        <v>0</v>
      </c>
      <c r="E208" s="112">
        <v>0</v>
      </c>
      <c r="F208" s="112">
        <v>0</v>
      </c>
      <c r="G208" s="112">
        <v>0</v>
      </c>
      <c r="H208" s="112">
        <v>0</v>
      </c>
      <c r="I208" s="114">
        <v>1</v>
      </c>
      <c r="J208" s="109" t="e">
        <f t="shared" si="131"/>
        <v>#N/A</v>
      </c>
      <c r="K208" s="23">
        <f t="shared" si="132"/>
        <v>0</v>
      </c>
      <c r="L208" s="112">
        <v>0</v>
      </c>
      <c r="M208" s="112">
        <v>0</v>
      </c>
      <c r="N208" s="112">
        <v>0</v>
      </c>
      <c r="O208" s="113">
        <v>0</v>
      </c>
      <c r="Q208" s="99" t="str">
        <f t="shared" si="133"/>
        <v>N/A</v>
      </c>
      <c r="R208" s="159" t="e">
        <f t="shared" si="134"/>
        <v>#N/A</v>
      </c>
      <c r="S208" s="159" t="e">
        <f t="shared" si="135"/>
        <v>#N/A</v>
      </c>
      <c r="T208" s="95" t="e">
        <f t="shared" si="136"/>
        <v>#N/A</v>
      </c>
      <c r="U208" s="95">
        <f t="shared" si="137"/>
        <v>0.05</v>
      </c>
    </row>
    <row r="209" spans="1:21" ht="14.25" thickBot="1" x14ac:dyDescent="0.3">
      <c r="A209" s="41"/>
      <c r="B209"/>
      <c r="C209" s="37"/>
      <c r="D209" s="24"/>
      <c r="E209" s="39"/>
      <c r="F209" s="39"/>
      <c r="G209" s="39"/>
      <c r="H209" s="39"/>
      <c r="I209"/>
      <c r="J209" s="38"/>
      <c r="K209" s="24"/>
      <c r="L209" s="39"/>
      <c r="M209" s="39"/>
      <c r="N209" s="39"/>
      <c r="O209" s="40"/>
    </row>
    <row r="210" spans="1:21" ht="16.5" thickBot="1" x14ac:dyDescent="0.3">
      <c r="A210" s="41"/>
      <c r="B210"/>
      <c r="C210" s="37"/>
      <c r="D210" s="24"/>
      <c r="E210" s="39"/>
      <c r="F210" s="39"/>
      <c r="G210" s="39"/>
      <c r="H210" s="39"/>
      <c r="I210"/>
      <c r="J210" s="38"/>
      <c r="K210" s="24"/>
      <c r="L210" s="39"/>
      <c r="M210" s="39"/>
      <c r="N210" s="39"/>
      <c r="O210" s="40"/>
      <c r="Q210" s="166" t="str">
        <f ca="1">'Espesor E4'!AB2</f>
        <v xml:space="preserve"> E4</v>
      </c>
      <c r="R210" s="167"/>
      <c r="S210" s="167"/>
      <c r="T210" s="167"/>
      <c r="U210" s="168"/>
    </row>
    <row r="211" spans="1:21" ht="16.5" thickBot="1" x14ac:dyDescent="0.3">
      <c r="A211" s="169" t="str">
        <f ca="1">REPT('Espesor E4'!AC2,32)</f>
        <v xml:space="preserve"> E4 / E4 / E4 / E4 / E4 / E4 / E4 / E4 / E4 / E4 / E4 / E4 / E4 / E4 / E4 / E4 / E4 / E4 / E4 / E4 / E4 / E4 / E4 / E4 / E4 / E4 / E4 / E4 / E4 / E4 / E4 / E4 /</v>
      </c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1"/>
      <c r="Q211" s="101" t="s">
        <v>61</v>
      </c>
      <c r="R211" s="102" t="s">
        <v>122</v>
      </c>
      <c r="S211" s="102" t="s">
        <v>123</v>
      </c>
      <c r="T211" s="102" t="s">
        <v>124</v>
      </c>
      <c r="U211" s="103" t="s">
        <v>125</v>
      </c>
    </row>
    <row r="212" spans="1:21" ht="15" x14ac:dyDescent="0.25">
      <c r="A212" s="115" t="str">
        <f>A75</f>
        <v>N/A</v>
      </c>
      <c r="B212" s="105">
        <v>1</v>
      </c>
      <c r="C212" s="106" t="e">
        <f>IF((VLOOKUP(A212,$A$75:$D$94,4,FALSE))="2D",(IF(B75&gt;C75,B212*($L$3+$L$5),B212*($L$3+$L$4))),((IF(B75&gt;C75,B212*($L$3+$L$5),B212*($L$3+$L$4)))))</f>
        <v>#N/A</v>
      </c>
      <c r="D212" s="107">
        <f>(E212*5.07+F212*2.85+G212*1.27+H212*0.71)</f>
        <v>0</v>
      </c>
      <c r="E212" s="110">
        <v>0</v>
      </c>
      <c r="F212" s="110">
        <v>0</v>
      </c>
      <c r="G212" s="110">
        <v>0</v>
      </c>
      <c r="H212" s="110">
        <v>0</v>
      </c>
      <c r="I212" s="105">
        <v>1</v>
      </c>
      <c r="J212" s="106" t="e">
        <f>IF((VLOOKUP(A212,$A$75:$D$94,4,FALSE))="2D",(IF(B75&lt;C75,I212*($L$3+$L$5),I212*($L$3+$L$4))),((IF(B75&lt;C75,I212*($L$3+$L$5),I212*($L$3+$L$4)))))</f>
        <v>#N/A</v>
      </c>
      <c r="K212" s="107">
        <f>(L212*5.07+M212*2.85+N212*1.27+O212*0.71)</f>
        <v>0</v>
      </c>
      <c r="L212" s="110">
        <v>0</v>
      </c>
      <c r="M212" s="110">
        <v>0</v>
      </c>
      <c r="N212" s="110">
        <v>0</v>
      </c>
      <c r="O212" s="111">
        <v>0</v>
      </c>
      <c r="Q212" s="100" t="str">
        <f>A212</f>
        <v>N/A</v>
      </c>
      <c r="R212" s="159" t="e">
        <f>IF(D75="2D",G212,IF(B75=(MIN(B75:C75)),G212,0))</f>
        <v>#N/A</v>
      </c>
      <c r="S212" s="159" t="e">
        <f>IF(D75="2D",N212,IF(C75=(MIN(B75:C75)),N212,0))</f>
        <v>#N/A</v>
      </c>
      <c r="T212" s="95" t="e">
        <f>K75-L75</f>
        <v>#N/A</v>
      </c>
      <c r="U212" s="95">
        <f>L75</f>
        <v>0.05</v>
      </c>
    </row>
    <row r="213" spans="1:21" ht="15" x14ac:dyDescent="0.25">
      <c r="A213" s="41" t="str">
        <f t="shared" ref="A213:A231" si="138">A76</f>
        <v>N/A</v>
      </c>
      <c r="B213" s="108">
        <v>1</v>
      </c>
      <c r="C213" s="37" t="e">
        <f t="shared" ref="C213:C231" si="139">IF((VLOOKUP(A213,$A$75:$D$94,4,FALSE))="2D",(IF(B76&gt;C76,B213*($L$3+$L$5),B213*($L$3+$L$4))),((IF(B76&gt;C76,B213*($L$3+$L$5),B213*($L$3+$L$4)))))</f>
        <v>#N/A</v>
      </c>
      <c r="D213" s="77">
        <f t="shared" ref="D213:D231" si="140">(E213*5.07+F213*2.85+G213*1.27+H213*0.71)</f>
        <v>0</v>
      </c>
      <c r="E213" s="39">
        <v>0</v>
      </c>
      <c r="F213" s="39">
        <v>0</v>
      </c>
      <c r="G213" s="39">
        <v>0</v>
      </c>
      <c r="H213" s="39">
        <v>0</v>
      </c>
      <c r="I213" s="108">
        <v>1</v>
      </c>
      <c r="J213" s="37" t="e">
        <f t="shared" ref="J213:J231" si="141">IF((VLOOKUP(A213,$A$75:$D$94,4,FALSE))="2D",(IF(B76&lt;C76,I213*($L$3+$L$5),I213*($L$3+$L$4))),((IF(B76&lt;C76,I213*($L$3+$L$5),I213*($L$3+$L$4)))))</f>
        <v>#N/A</v>
      </c>
      <c r="K213" s="77">
        <f t="shared" ref="K213:K231" si="142">(L213*5.07+M213*2.85+N213*1.27+O213*0.71)</f>
        <v>0</v>
      </c>
      <c r="L213" s="39">
        <v>0</v>
      </c>
      <c r="M213" s="39">
        <v>0</v>
      </c>
      <c r="N213" s="39">
        <v>0</v>
      </c>
      <c r="O213" s="40">
        <v>0</v>
      </c>
      <c r="Q213" s="99" t="str">
        <f t="shared" ref="Q213:Q231" si="143">A213</f>
        <v>N/A</v>
      </c>
      <c r="R213" s="159" t="e">
        <f t="shared" ref="R213:R231" si="144">IF(D76="2D",G213,IF(B76=(MIN(B76:C76)),G213,0))</f>
        <v>#N/A</v>
      </c>
      <c r="S213" s="159" t="e">
        <f t="shared" ref="S213:S231" si="145">IF(D76="2D",N213,IF(C76=(MIN(B76:C76)),N213,0))</f>
        <v>#N/A</v>
      </c>
      <c r="T213" s="95" t="e">
        <f t="shared" ref="T213:T231" si="146">K76-L76</f>
        <v>#N/A</v>
      </c>
      <c r="U213" s="95">
        <f t="shared" ref="U213:U231" si="147">L76</f>
        <v>0.05</v>
      </c>
    </row>
    <row r="214" spans="1:21" ht="15" x14ac:dyDescent="0.25">
      <c r="A214" s="41" t="str">
        <f t="shared" si="138"/>
        <v>N/A</v>
      </c>
      <c r="B214" s="108">
        <v>1</v>
      </c>
      <c r="C214" s="37" t="e">
        <f t="shared" si="139"/>
        <v>#N/A</v>
      </c>
      <c r="D214" s="77">
        <f t="shared" si="140"/>
        <v>0</v>
      </c>
      <c r="E214" s="39">
        <v>0</v>
      </c>
      <c r="F214" s="39">
        <v>0</v>
      </c>
      <c r="G214" s="39">
        <v>0</v>
      </c>
      <c r="H214" s="39">
        <v>0</v>
      </c>
      <c r="I214" s="108">
        <v>1</v>
      </c>
      <c r="J214" s="37" t="e">
        <f t="shared" si="141"/>
        <v>#N/A</v>
      </c>
      <c r="K214" s="77">
        <f t="shared" si="142"/>
        <v>0</v>
      </c>
      <c r="L214" s="39">
        <v>0</v>
      </c>
      <c r="M214" s="39">
        <v>0</v>
      </c>
      <c r="N214" s="39">
        <v>0</v>
      </c>
      <c r="O214" s="40">
        <v>0</v>
      </c>
      <c r="Q214" s="99" t="str">
        <f t="shared" si="143"/>
        <v>N/A</v>
      </c>
      <c r="R214" s="159" t="e">
        <f t="shared" si="144"/>
        <v>#N/A</v>
      </c>
      <c r="S214" s="159" t="e">
        <f t="shared" si="145"/>
        <v>#N/A</v>
      </c>
      <c r="T214" s="95" t="e">
        <f t="shared" si="146"/>
        <v>#N/A</v>
      </c>
      <c r="U214" s="95">
        <f t="shared" si="147"/>
        <v>0.05</v>
      </c>
    </row>
    <row r="215" spans="1:21" ht="15" x14ac:dyDescent="0.25">
      <c r="A215" s="41" t="str">
        <f t="shared" si="138"/>
        <v>N/A</v>
      </c>
      <c r="B215" s="108">
        <v>1</v>
      </c>
      <c r="C215" s="37" t="e">
        <f t="shared" si="139"/>
        <v>#N/A</v>
      </c>
      <c r="D215" s="77">
        <f t="shared" si="140"/>
        <v>0</v>
      </c>
      <c r="E215" s="39">
        <v>0</v>
      </c>
      <c r="F215" s="39">
        <v>0</v>
      </c>
      <c r="G215" s="39">
        <v>0</v>
      </c>
      <c r="H215" s="39">
        <v>0</v>
      </c>
      <c r="I215" s="108">
        <v>1</v>
      </c>
      <c r="J215" s="37" t="e">
        <f t="shared" si="141"/>
        <v>#N/A</v>
      </c>
      <c r="K215" s="77">
        <f t="shared" si="142"/>
        <v>0</v>
      </c>
      <c r="L215" s="39">
        <v>0</v>
      </c>
      <c r="M215" s="39">
        <v>0</v>
      </c>
      <c r="N215" s="39">
        <v>0</v>
      </c>
      <c r="O215" s="40">
        <v>0</v>
      </c>
      <c r="Q215" s="99" t="str">
        <f t="shared" si="143"/>
        <v>N/A</v>
      </c>
      <c r="R215" s="159" t="e">
        <f t="shared" si="144"/>
        <v>#N/A</v>
      </c>
      <c r="S215" s="159" t="e">
        <f t="shared" si="145"/>
        <v>#N/A</v>
      </c>
      <c r="T215" s="95" t="e">
        <f t="shared" si="146"/>
        <v>#N/A</v>
      </c>
      <c r="U215" s="95">
        <f t="shared" si="147"/>
        <v>0.05</v>
      </c>
    </row>
    <row r="216" spans="1:21" ht="15" x14ac:dyDescent="0.25">
      <c r="A216" s="41" t="str">
        <f t="shared" si="138"/>
        <v>N/A</v>
      </c>
      <c r="B216" s="108">
        <v>1</v>
      </c>
      <c r="C216" s="37" t="e">
        <f t="shared" si="139"/>
        <v>#N/A</v>
      </c>
      <c r="D216" s="77">
        <f t="shared" si="140"/>
        <v>0</v>
      </c>
      <c r="E216" s="39">
        <v>0</v>
      </c>
      <c r="F216" s="39">
        <v>0</v>
      </c>
      <c r="G216" s="39">
        <v>0</v>
      </c>
      <c r="H216" s="39">
        <v>0</v>
      </c>
      <c r="I216" s="108">
        <v>1</v>
      </c>
      <c r="J216" s="37" t="e">
        <f t="shared" si="141"/>
        <v>#N/A</v>
      </c>
      <c r="K216" s="77">
        <f t="shared" si="142"/>
        <v>0</v>
      </c>
      <c r="L216" s="39">
        <v>0</v>
      </c>
      <c r="M216" s="39">
        <v>0</v>
      </c>
      <c r="N216" s="39">
        <v>0</v>
      </c>
      <c r="O216" s="40">
        <v>0</v>
      </c>
      <c r="Q216" s="99" t="str">
        <f t="shared" si="143"/>
        <v>N/A</v>
      </c>
      <c r="R216" s="159" t="e">
        <f t="shared" si="144"/>
        <v>#N/A</v>
      </c>
      <c r="S216" s="159" t="e">
        <f t="shared" si="145"/>
        <v>#N/A</v>
      </c>
      <c r="T216" s="95" t="e">
        <f t="shared" si="146"/>
        <v>#N/A</v>
      </c>
      <c r="U216" s="95">
        <f t="shared" si="147"/>
        <v>0.05</v>
      </c>
    </row>
    <row r="217" spans="1:21" ht="15" x14ac:dyDescent="0.25">
      <c r="A217" s="41" t="str">
        <f t="shared" si="138"/>
        <v>N/A</v>
      </c>
      <c r="B217" s="108">
        <v>1</v>
      </c>
      <c r="C217" s="37" t="e">
        <f t="shared" si="139"/>
        <v>#N/A</v>
      </c>
      <c r="D217" s="77">
        <f t="shared" si="140"/>
        <v>0</v>
      </c>
      <c r="E217" s="39">
        <v>0</v>
      </c>
      <c r="F217" s="39">
        <v>0</v>
      </c>
      <c r="G217" s="39">
        <v>0</v>
      </c>
      <c r="H217" s="39">
        <v>0</v>
      </c>
      <c r="I217" s="108">
        <v>1</v>
      </c>
      <c r="J217" s="37" t="e">
        <f t="shared" si="141"/>
        <v>#N/A</v>
      </c>
      <c r="K217" s="77">
        <f t="shared" si="142"/>
        <v>0</v>
      </c>
      <c r="L217" s="39">
        <v>0</v>
      </c>
      <c r="M217" s="39">
        <v>0</v>
      </c>
      <c r="N217" s="39">
        <v>0</v>
      </c>
      <c r="O217" s="40">
        <v>0</v>
      </c>
      <c r="Q217" s="99" t="str">
        <f t="shared" si="143"/>
        <v>N/A</v>
      </c>
      <c r="R217" s="159" t="e">
        <f t="shared" si="144"/>
        <v>#N/A</v>
      </c>
      <c r="S217" s="159" t="e">
        <f t="shared" si="145"/>
        <v>#N/A</v>
      </c>
      <c r="T217" s="95" t="e">
        <f t="shared" si="146"/>
        <v>#N/A</v>
      </c>
      <c r="U217" s="95">
        <f t="shared" si="147"/>
        <v>0.05</v>
      </c>
    </row>
    <row r="218" spans="1:21" ht="15" x14ac:dyDescent="0.25">
      <c r="A218" s="41" t="str">
        <f t="shared" si="138"/>
        <v>N/A</v>
      </c>
      <c r="B218" s="108">
        <v>1</v>
      </c>
      <c r="C218" s="37" t="e">
        <f t="shared" si="139"/>
        <v>#N/A</v>
      </c>
      <c r="D218" s="77">
        <f t="shared" si="140"/>
        <v>0</v>
      </c>
      <c r="E218" s="39">
        <v>0</v>
      </c>
      <c r="F218" s="39">
        <v>0</v>
      </c>
      <c r="G218" s="39">
        <v>0</v>
      </c>
      <c r="H218" s="39">
        <v>0</v>
      </c>
      <c r="I218" s="108">
        <v>1</v>
      </c>
      <c r="J218" s="37" t="e">
        <f t="shared" si="141"/>
        <v>#N/A</v>
      </c>
      <c r="K218" s="77">
        <f t="shared" si="142"/>
        <v>0</v>
      </c>
      <c r="L218" s="39">
        <v>0</v>
      </c>
      <c r="M218" s="39">
        <v>0</v>
      </c>
      <c r="N218" s="39">
        <v>0</v>
      </c>
      <c r="O218" s="40">
        <v>0</v>
      </c>
      <c r="Q218" s="99" t="str">
        <f t="shared" si="143"/>
        <v>N/A</v>
      </c>
      <c r="R218" s="159" t="e">
        <f t="shared" si="144"/>
        <v>#N/A</v>
      </c>
      <c r="S218" s="159" t="e">
        <f t="shared" si="145"/>
        <v>#N/A</v>
      </c>
      <c r="T218" s="95" t="e">
        <f t="shared" si="146"/>
        <v>#N/A</v>
      </c>
      <c r="U218" s="95">
        <f t="shared" si="147"/>
        <v>0.05</v>
      </c>
    </row>
    <row r="219" spans="1:21" ht="15" x14ac:dyDescent="0.25">
      <c r="A219" s="41" t="str">
        <f t="shared" si="138"/>
        <v>N/A</v>
      </c>
      <c r="B219" s="108">
        <v>1</v>
      </c>
      <c r="C219" s="37" t="e">
        <f t="shared" si="139"/>
        <v>#N/A</v>
      </c>
      <c r="D219" s="77">
        <f t="shared" si="140"/>
        <v>0</v>
      </c>
      <c r="E219" s="39">
        <v>0</v>
      </c>
      <c r="F219" s="39">
        <v>0</v>
      </c>
      <c r="G219" s="39">
        <v>0</v>
      </c>
      <c r="H219" s="39">
        <v>0</v>
      </c>
      <c r="I219" s="108">
        <v>1</v>
      </c>
      <c r="J219" s="37" t="e">
        <f t="shared" si="141"/>
        <v>#N/A</v>
      </c>
      <c r="K219" s="77">
        <f t="shared" si="142"/>
        <v>0</v>
      </c>
      <c r="L219" s="39">
        <v>0</v>
      </c>
      <c r="M219" s="39">
        <v>0</v>
      </c>
      <c r="N219" s="39">
        <v>0</v>
      </c>
      <c r="O219" s="40">
        <v>0</v>
      </c>
      <c r="Q219" s="99" t="str">
        <f t="shared" si="143"/>
        <v>N/A</v>
      </c>
      <c r="R219" s="159" t="e">
        <f t="shared" si="144"/>
        <v>#N/A</v>
      </c>
      <c r="S219" s="159" t="e">
        <f t="shared" si="145"/>
        <v>#N/A</v>
      </c>
      <c r="T219" s="95" t="e">
        <f t="shared" si="146"/>
        <v>#N/A</v>
      </c>
      <c r="U219" s="95">
        <f t="shared" si="147"/>
        <v>0.05</v>
      </c>
    </row>
    <row r="220" spans="1:21" ht="15" x14ac:dyDescent="0.25">
      <c r="A220" s="41" t="str">
        <f t="shared" si="138"/>
        <v>N/A</v>
      </c>
      <c r="B220" s="108">
        <v>1</v>
      </c>
      <c r="C220" s="37" t="e">
        <f t="shared" si="139"/>
        <v>#N/A</v>
      </c>
      <c r="D220" s="77">
        <f t="shared" si="140"/>
        <v>0</v>
      </c>
      <c r="E220" s="39">
        <v>0</v>
      </c>
      <c r="F220" s="39">
        <v>0</v>
      </c>
      <c r="G220" s="39">
        <v>0</v>
      </c>
      <c r="H220" s="39">
        <v>0</v>
      </c>
      <c r="I220" s="108">
        <v>1</v>
      </c>
      <c r="J220" s="37" t="e">
        <f t="shared" si="141"/>
        <v>#N/A</v>
      </c>
      <c r="K220" s="77">
        <f t="shared" si="142"/>
        <v>0</v>
      </c>
      <c r="L220" s="39">
        <v>0</v>
      </c>
      <c r="M220" s="39">
        <v>0</v>
      </c>
      <c r="N220" s="39">
        <v>0</v>
      </c>
      <c r="O220" s="40">
        <v>0</v>
      </c>
      <c r="Q220" s="99" t="str">
        <f t="shared" si="143"/>
        <v>N/A</v>
      </c>
      <c r="R220" s="159" t="e">
        <f t="shared" si="144"/>
        <v>#N/A</v>
      </c>
      <c r="S220" s="159" t="e">
        <f t="shared" si="145"/>
        <v>#N/A</v>
      </c>
      <c r="T220" s="95" t="e">
        <f t="shared" si="146"/>
        <v>#N/A</v>
      </c>
      <c r="U220" s="95">
        <f t="shared" si="147"/>
        <v>0.05</v>
      </c>
    </row>
    <row r="221" spans="1:21" ht="15" x14ac:dyDescent="0.25">
      <c r="A221" s="41" t="str">
        <f t="shared" si="138"/>
        <v>N/A</v>
      </c>
      <c r="B221" s="108">
        <v>1</v>
      </c>
      <c r="C221" s="37" t="e">
        <f t="shared" si="139"/>
        <v>#N/A</v>
      </c>
      <c r="D221" s="77">
        <f t="shared" si="140"/>
        <v>0</v>
      </c>
      <c r="E221" s="39">
        <v>0</v>
      </c>
      <c r="F221" s="39">
        <v>0</v>
      </c>
      <c r="G221" s="39">
        <v>0</v>
      </c>
      <c r="H221" s="39">
        <v>0</v>
      </c>
      <c r="I221" s="108">
        <v>1</v>
      </c>
      <c r="J221" s="37" t="e">
        <f t="shared" si="141"/>
        <v>#N/A</v>
      </c>
      <c r="K221" s="77">
        <f t="shared" si="142"/>
        <v>0</v>
      </c>
      <c r="L221" s="39">
        <v>0</v>
      </c>
      <c r="M221" s="39">
        <v>0</v>
      </c>
      <c r="N221" s="39">
        <v>0</v>
      </c>
      <c r="O221" s="40">
        <v>0</v>
      </c>
      <c r="Q221" s="99" t="str">
        <f t="shared" si="143"/>
        <v>N/A</v>
      </c>
      <c r="R221" s="159" t="e">
        <f t="shared" si="144"/>
        <v>#N/A</v>
      </c>
      <c r="S221" s="159" t="e">
        <f t="shared" si="145"/>
        <v>#N/A</v>
      </c>
      <c r="T221" s="95" t="e">
        <f t="shared" si="146"/>
        <v>#N/A</v>
      </c>
      <c r="U221" s="95">
        <f t="shared" si="147"/>
        <v>0.05</v>
      </c>
    </row>
    <row r="222" spans="1:21" ht="15" x14ac:dyDescent="0.25">
      <c r="A222" s="41" t="str">
        <f t="shared" si="138"/>
        <v>N/A</v>
      </c>
      <c r="B222" s="108">
        <v>1</v>
      </c>
      <c r="C222" s="37" t="e">
        <f t="shared" si="139"/>
        <v>#N/A</v>
      </c>
      <c r="D222" s="77">
        <f t="shared" si="140"/>
        <v>0</v>
      </c>
      <c r="E222" s="39">
        <v>0</v>
      </c>
      <c r="F222" s="39">
        <v>0</v>
      </c>
      <c r="G222" s="39">
        <v>0</v>
      </c>
      <c r="H222" s="39">
        <v>0</v>
      </c>
      <c r="I222" s="108">
        <v>1</v>
      </c>
      <c r="J222" s="37" t="e">
        <f t="shared" si="141"/>
        <v>#N/A</v>
      </c>
      <c r="K222" s="77">
        <f t="shared" si="142"/>
        <v>0</v>
      </c>
      <c r="L222" s="39">
        <v>0</v>
      </c>
      <c r="M222" s="39">
        <v>0</v>
      </c>
      <c r="N222" s="39">
        <v>0</v>
      </c>
      <c r="O222" s="40">
        <v>0</v>
      </c>
      <c r="Q222" s="99" t="str">
        <f t="shared" si="143"/>
        <v>N/A</v>
      </c>
      <c r="R222" s="159" t="e">
        <f t="shared" si="144"/>
        <v>#N/A</v>
      </c>
      <c r="S222" s="159" t="e">
        <f t="shared" si="145"/>
        <v>#N/A</v>
      </c>
      <c r="T222" s="95" t="e">
        <f t="shared" si="146"/>
        <v>#N/A</v>
      </c>
      <c r="U222" s="95">
        <f t="shared" si="147"/>
        <v>0.05</v>
      </c>
    </row>
    <row r="223" spans="1:21" ht="15" x14ac:dyDescent="0.25">
      <c r="A223" s="41" t="str">
        <f t="shared" si="138"/>
        <v>N/A</v>
      </c>
      <c r="B223" s="108">
        <v>1</v>
      </c>
      <c r="C223" s="37" t="e">
        <f t="shared" si="139"/>
        <v>#N/A</v>
      </c>
      <c r="D223" s="77">
        <f t="shared" si="140"/>
        <v>0</v>
      </c>
      <c r="E223" s="39">
        <v>0</v>
      </c>
      <c r="F223" s="39">
        <v>0</v>
      </c>
      <c r="G223" s="39">
        <v>0</v>
      </c>
      <c r="H223" s="39">
        <v>0</v>
      </c>
      <c r="I223" s="108">
        <v>1</v>
      </c>
      <c r="J223" s="37" t="e">
        <f t="shared" si="141"/>
        <v>#N/A</v>
      </c>
      <c r="K223" s="77">
        <f t="shared" si="142"/>
        <v>0</v>
      </c>
      <c r="L223" s="39">
        <v>0</v>
      </c>
      <c r="M223" s="39">
        <v>0</v>
      </c>
      <c r="N223" s="39">
        <v>0</v>
      </c>
      <c r="O223" s="40">
        <v>0</v>
      </c>
      <c r="Q223" s="99" t="str">
        <f t="shared" si="143"/>
        <v>N/A</v>
      </c>
      <c r="R223" s="159" t="e">
        <f t="shared" si="144"/>
        <v>#N/A</v>
      </c>
      <c r="S223" s="159" t="e">
        <f t="shared" si="145"/>
        <v>#N/A</v>
      </c>
      <c r="T223" s="95" t="e">
        <f t="shared" si="146"/>
        <v>#N/A</v>
      </c>
      <c r="U223" s="95">
        <f t="shared" si="147"/>
        <v>0.05</v>
      </c>
    </row>
    <row r="224" spans="1:21" ht="15" x14ac:dyDescent="0.25">
      <c r="A224" s="41" t="str">
        <f t="shared" si="138"/>
        <v>N/A</v>
      </c>
      <c r="B224" s="108">
        <v>1</v>
      </c>
      <c r="C224" s="37" t="e">
        <f t="shared" si="139"/>
        <v>#N/A</v>
      </c>
      <c r="D224" s="77">
        <f t="shared" si="140"/>
        <v>0</v>
      </c>
      <c r="E224" s="39">
        <v>0</v>
      </c>
      <c r="F224" s="39">
        <v>0</v>
      </c>
      <c r="G224" s="39">
        <v>0</v>
      </c>
      <c r="H224" s="39">
        <v>0</v>
      </c>
      <c r="I224" s="108">
        <v>1</v>
      </c>
      <c r="J224" s="37" t="e">
        <f t="shared" si="141"/>
        <v>#N/A</v>
      </c>
      <c r="K224" s="77">
        <f t="shared" si="142"/>
        <v>0</v>
      </c>
      <c r="L224" s="39">
        <v>0</v>
      </c>
      <c r="M224" s="39">
        <v>0</v>
      </c>
      <c r="N224" s="39">
        <v>0</v>
      </c>
      <c r="O224" s="40">
        <v>0</v>
      </c>
      <c r="Q224" s="99" t="str">
        <f t="shared" si="143"/>
        <v>N/A</v>
      </c>
      <c r="R224" s="159" t="e">
        <f t="shared" si="144"/>
        <v>#N/A</v>
      </c>
      <c r="S224" s="159" t="e">
        <f t="shared" si="145"/>
        <v>#N/A</v>
      </c>
      <c r="T224" s="95" t="e">
        <f t="shared" si="146"/>
        <v>#N/A</v>
      </c>
      <c r="U224" s="95">
        <f t="shared" si="147"/>
        <v>0.05</v>
      </c>
    </row>
    <row r="225" spans="1:21" ht="15" x14ac:dyDescent="0.25">
      <c r="A225" s="41" t="str">
        <f t="shared" si="138"/>
        <v>N/A</v>
      </c>
      <c r="B225" s="108">
        <v>1</v>
      </c>
      <c r="C225" s="37" t="e">
        <f t="shared" si="139"/>
        <v>#N/A</v>
      </c>
      <c r="D225" s="77">
        <f t="shared" si="140"/>
        <v>0</v>
      </c>
      <c r="E225" s="39">
        <v>0</v>
      </c>
      <c r="F225" s="39">
        <v>0</v>
      </c>
      <c r="G225" s="39">
        <v>0</v>
      </c>
      <c r="H225" s="39">
        <v>0</v>
      </c>
      <c r="I225" s="108">
        <v>1</v>
      </c>
      <c r="J225" s="37" t="e">
        <f t="shared" si="141"/>
        <v>#N/A</v>
      </c>
      <c r="K225" s="77">
        <f t="shared" si="142"/>
        <v>0</v>
      </c>
      <c r="L225" s="39">
        <v>0</v>
      </c>
      <c r="M225" s="39">
        <v>0</v>
      </c>
      <c r="N225" s="39">
        <v>0</v>
      </c>
      <c r="O225" s="40">
        <v>0</v>
      </c>
      <c r="Q225" s="99" t="str">
        <f t="shared" si="143"/>
        <v>N/A</v>
      </c>
      <c r="R225" s="159" t="e">
        <f t="shared" si="144"/>
        <v>#N/A</v>
      </c>
      <c r="S225" s="159" t="e">
        <f t="shared" si="145"/>
        <v>#N/A</v>
      </c>
      <c r="T225" s="95" t="e">
        <f t="shared" si="146"/>
        <v>#N/A</v>
      </c>
      <c r="U225" s="95">
        <f t="shared" si="147"/>
        <v>0.05</v>
      </c>
    </row>
    <row r="226" spans="1:21" ht="15" x14ac:dyDescent="0.25">
      <c r="A226" s="41" t="str">
        <f t="shared" si="138"/>
        <v>N/A</v>
      </c>
      <c r="B226" s="108">
        <v>1</v>
      </c>
      <c r="C226" s="37" t="e">
        <f t="shared" si="139"/>
        <v>#N/A</v>
      </c>
      <c r="D226" s="77">
        <f t="shared" si="140"/>
        <v>0</v>
      </c>
      <c r="E226" s="39">
        <v>0</v>
      </c>
      <c r="F226" s="39">
        <v>0</v>
      </c>
      <c r="G226" s="39">
        <v>0</v>
      </c>
      <c r="H226" s="39">
        <v>0</v>
      </c>
      <c r="I226" s="108">
        <v>1</v>
      </c>
      <c r="J226" s="37" t="e">
        <f t="shared" si="141"/>
        <v>#N/A</v>
      </c>
      <c r="K226" s="77">
        <f t="shared" si="142"/>
        <v>0</v>
      </c>
      <c r="L226" s="39">
        <v>0</v>
      </c>
      <c r="M226" s="39">
        <v>0</v>
      </c>
      <c r="N226" s="39">
        <v>0</v>
      </c>
      <c r="O226" s="40">
        <v>0</v>
      </c>
      <c r="Q226" s="99" t="str">
        <f t="shared" si="143"/>
        <v>N/A</v>
      </c>
      <c r="R226" s="159" t="e">
        <f t="shared" si="144"/>
        <v>#N/A</v>
      </c>
      <c r="S226" s="159" t="e">
        <f t="shared" si="145"/>
        <v>#N/A</v>
      </c>
      <c r="T226" s="95" t="e">
        <f t="shared" si="146"/>
        <v>#N/A</v>
      </c>
      <c r="U226" s="95">
        <f t="shared" si="147"/>
        <v>0.05</v>
      </c>
    </row>
    <row r="227" spans="1:21" ht="15" x14ac:dyDescent="0.25">
      <c r="A227" s="41" t="str">
        <f t="shared" si="138"/>
        <v>N/A</v>
      </c>
      <c r="B227" s="108">
        <v>1</v>
      </c>
      <c r="C227" s="37" t="e">
        <f t="shared" si="139"/>
        <v>#N/A</v>
      </c>
      <c r="D227" s="77">
        <f t="shared" si="140"/>
        <v>0</v>
      </c>
      <c r="E227" s="39">
        <v>0</v>
      </c>
      <c r="F227" s="39">
        <v>0</v>
      </c>
      <c r="G227" s="39">
        <v>0</v>
      </c>
      <c r="H227" s="39">
        <v>0</v>
      </c>
      <c r="I227" s="108">
        <v>1</v>
      </c>
      <c r="J227" s="37" t="e">
        <f t="shared" si="141"/>
        <v>#N/A</v>
      </c>
      <c r="K227" s="77">
        <f t="shared" si="142"/>
        <v>0</v>
      </c>
      <c r="L227" s="39">
        <v>0</v>
      </c>
      <c r="M227" s="39">
        <v>0</v>
      </c>
      <c r="N227" s="39">
        <v>0</v>
      </c>
      <c r="O227" s="40">
        <v>0</v>
      </c>
      <c r="Q227" s="99" t="str">
        <f t="shared" si="143"/>
        <v>N/A</v>
      </c>
      <c r="R227" s="159" t="e">
        <f t="shared" si="144"/>
        <v>#N/A</v>
      </c>
      <c r="S227" s="159" t="e">
        <f t="shared" si="145"/>
        <v>#N/A</v>
      </c>
      <c r="T227" s="95" t="e">
        <f t="shared" si="146"/>
        <v>#N/A</v>
      </c>
      <c r="U227" s="95">
        <f t="shared" si="147"/>
        <v>0.05</v>
      </c>
    </row>
    <row r="228" spans="1:21" ht="15" x14ac:dyDescent="0.25">
      <c r="A228" s="41" t="str">
        <f t="shared" si="138"/>
        <v>N/A</v>
      </c>
      <c r="B228" s="108">
        <v>1</v>
      </c>
      <c r="C228" s="37" t="e">
        <f t="shared" si="139"/>
        <v>#N/A</v>
      </c>
      <c r="D228" s="77">
        <f t="shared" si="140"/>
        <v>0</v>
      </c>
      <c r="E228" s="39">
        <v>0</v>
      </c>
      <c r="F228" s="39">
        <v>0</v>
      </c>
      <c r="G228" s="39">
        <v>0</v>
      </c>
      <c r="H228" s="39">
        <v>0</v>
      </c>
      <c r="I228" s="108">
        <v>1</v>
      </c>
      <c r="J228" s="37" t="e">
        <f t="shared" si="141"/>
        <v>#N/A</v>
      </c>
      <c r="K228" s="77">
        <f t="shared" si="142"/>
        <v>0</v>
      </c>
      <c r="L228" s="39">
        <v>0</v>
      </c>
      <c r="M228" s="39">
        <v>0</v>
      </c>
      <c r="N228" s="39">
        <v>0</v>
      </c>
      <c r="O228" s="40">
        <v>0</v>
      </c>
      <c r="Q228" s="99" t="str">
        <f t="shared" si="143"/>
        <v>N/A</v>
      </c>
      <c r="R228" s="159" t="e">
        <f t="shared" si="144"/>
        <v>#N/A</v>
      </c>
      <c r="S228" s="159" t="e">
        <f t="shared" si="145"/>
        <v>#N/A</v>
      </c>
      <c r="T228" s="95" t="e">
        <f t="shared" si="146"/>
        <v>#N/A</v>
      </c>
      <c r="U228" s="95">
        <f t="shared" si="147"/>
        <v>0.05</v>
      </c>
    </row>
    <row r="229" spans="1:21" ht="15" x14ac:dyDescent="0.25">
      <c r="A229" s="41" t="str">
        <f t="shared" si="138"/>
        <v>N/A</v>
      </c>
      <c r="B229" s="108">
        <v>1</v>
      </c>
      <c r="C229" s="37" t="e">
        <f t="shared" si="139"/>
        <v>#N/A</v>
      </c>
      <c r="D229" s="77">
        <f t="shared" si="140"/>
        <v>0</v>
      </c>
      <c r="E229" s="39">
        <v>0</v>
      </c>
      <c r="F229" s="39">
        <v>0</v>
      </c>
      <c r="G229" s="39">
        <v>0</v>
      </c>
      <c r="H229" s="39">
        <v>0</v>
      </c>
      <c r="I229" s="108">
        <v>1</v>
      </c>
      <c r="J229" s="37" t="e">
        <f t="shared" si="141"/>
        <v>#N/A</v>
      </c>
      <c r="K229" s="77">
        <f t="shared" si="142"/>
        <v>0</v>
      </c>
      <c r="L229" s="39">
        <v>0</v>
      </c>
      <c r="M229" s="39">
        <v>0</v>
      </c>
      <c r="N229" s="39">
        <v>0</v>
      </c>
      <c r="O229" s="40">
        <v>0</v>
      </c>
      <c r="Q229" s="99" t="str">
        <f t="shared" si="143"/>
        <v>N/A</v>
      </c>
      <c r="R229" s="159" t="e">
        <f t="shared" si="144"/>
        <v>#N/A</v>
      </c>
      <c r="S229" s="159" t="e">
        <f t="shared" si="145"/>
        <v>#N/A</v>
      </c>
      <c r="T229" s="95" t="e">
        <f t="shared" si="146"/>
        <v>#N/A</v>
      </c>
      <c r="U229" s="95">
        <f t="shared" si="147"/>
        <v>0.05</v>
      </c>
    </row>
    <row r="230" spans="1:21" ht="15" x14ac:dyDescent="0.25">
      <c r="A230" s="41" t="str">
        <f t="shared" si="138"/>
        <v>N/A</v>
      </c>
      <c r="B230" s="108">
        <v>1</v>
      </c>
      <c r="C230" s="37" t="e">
        <f t="shared" si="139"/>
        <v>#N/A</v>
      </c>
      <c r="D230" s="77">
        <f t="shared" si="140"/>
        <v>0</v>
      </c>
      <c r="E230" s="39">
        <v>0</v>
      </c>
      <c r="F230" s="39">
        <v>0</v>
      </c>
      <c r="G230" s="39">
        <v>0</v>
      </c>
      <c r="H230" s="39">
        <v>0</v>
      </c>
      <c r="I230" s="108">
        <v>1</v>
      </c>
      <c r="J230" s="37" t="e">
        <f t="shared" si="141"/>
        <v>#N/A</v>
      </c>
      <c r="K230" s="77">
        <f t="shared" si="142"/>
        <v>0</v>
      </c>
      <c r="L230" s="39">
        <v>0</v>
      </c>
      <c r="M230" s="39">
        <v>0</v>
      </c>
      <c r="N230" s="39">
        <v>0</v>
      </c>
      <c r="O230" s="40">
        <v>0</v>
      </c>
      <c r="Q230" s="99" t="str">
        <f t="shared" si="143"/>
        <v>N/A</v>
      </c>
      <c r="R230" s="159" t="e">
        <f t="shared" si="144"/>
        <v>#N/A</v>
      </c>
      <c r="S230" s="159" t="e">
        <f t="shared" si="145"/>
        <v>#N/A</v>
      </c>
      <c r="T230" s="95" t="e">
        <f t="shared" si="146"/>
        <v>#N/A</v>
      </c>
      <c r="U230" s="95">
        <f t="shared" si="147"/>
        <v>0.05</v>
      </c>
    </row>
    <row r="231" spans="1:21" ht="15.75" thickBot="1" x14ac:dyDescent="0.3">
      <c r="A231" s="42" t="str">
        <f t="shared" si="138"/>
        <v>N/A</v>
      </c>
      <c r="B231" s="114">
        <v>1</v>
      </c>
      <c r="C231" s="109" t="e">
        <f t="shared" si="139"/>
        <v>#N/A</v>
      </c>
      <c r="D231" s="23">
        <f t="shared" si="140"/>
        <v>0</v>
      </c>
      <c r="E231" s="112">
        <v>0</v>
      </c>
      <c r="F231" s="112">
        <v>0</v>
      </c>
      <c r="G231" s="112">
        <v>0</v>
      </c>
      <c r="H231" s="112">
        <v>0</v>
      </c>
      <c r="I231" s="114">
        <v>1</v>
      </c>
      <c r="J231" s="109" t="e">
        <f t="shared" si="141"/>
        <v>#N/A</v>
      </c>
      <c r="K231" s="23">
        <f t="shared" si="142"/>
        <v>0</v>
      </c>
      <c r="L231" s="112">
        <v>0</v>
      </c>
      <c r="M231" s="112">
        <v>0</v>
      </c>
      <c r="N231" s="112">
        <v>0</v>
      </c>
      <c r="O231" s="113">
        <v>0</v>
      </c>
      <c r="Q231" s="99" t="str">
        <f t="shared" si="143"/>
        <v>N/A</v>
      </c>
      <c r="R231" s="159" t="e">
        <f t="shared" si="144"/>
        <v>#N/A</v>
      </c>
      <c r="S231" s="159" t="e">
        <f t="shared" si="145"/>
        <v>#N/A</v>
      </c>
      <c r="T231" s="95" t="e">
        <f t="shared" si="146"/>
        <v>#N/A</v>
      </c>
      <c r="U231" s="95">
        <f t="shared" si="147"/>
        <v>0.05</v>
      </c>
    </row>
    <row r="232" spans="1:21" ht="14.25" thickBot="1" x14ac:dyDescent="0.3">
      <c r="A232" s="41"/>
      <c r="B232"/>
      <c r="C232" s="37"/>
      <c r="D232" s="24"/>
      <c r="E232" s="39"/>
      <c r="F232" s="39"/>
      <c r="G232" s="39"/>
      <c r="H232" s="39"/>
      <c r="I232"/>
      <c r="J232" s="38"/>
      <c r="K232" s="24"/>
      <c r="L232" s="39"/>
      <c r="M232" s="39"/>
      <c r="N232" s="39"/>
      <c r="O232" s="40"/>
    </row>
    <row r="233" spans="1:21" ht="16.5" thickBot="1" x14ac:dyDescent="0.3">
      <c r="A233" s="41"/>
      <c r="B233"/>
      <c r="C233" s="37"/>
      <c r="D233" s="24"/>
      <c r="E233" s="39"/>
      <c r="F233" s="39"/>
      <c r="G233" s="39"/>
      <c r="H233" s="39"/>
      <c r="I233"/>
      <c r="J233" s="38"/>
      <c r="K233" s="24"/>
      <c r="L233" s="39"/>
      <c r="M233" s="39"/>
      <c r="N233" s="39"/>
      <c r="O233" s="40"/>
      <c r="Q233" s="166" t="str">
        <f ca="1">'Espesor E5'!AB2</f>
        <v xml:space="preserve"> E5</v>
      </c>
      <c r="R233" s="167"/>
      <c r="S233" s="167"/>
      <c r="T233" s="167"/>
      <c r="U233" s="168"/>
    </row>
    <row r="234" spans="1:21" ht="16.5" thickBot="1" x14ac:dyDescent="0.3">
      <c r="A234" s="169" t="str">
        <f ca="1">REPT('Espesor E5'!AC2,32)</f>
        <v xml:space="preserve"> E5 / E5 / E5 / E5 / E5 / E5 / E5 / E5 / E5 / E5 / E5 / E5 / E5 / E5 / E5 / E5 / E5 / E5 / E5 / E5 / E5 / E5 / E5 / E5 / E5 / E5 / E5 / E5 / E5 / E5 / E5 / E5 /</v>
      </c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1"/>
      <c r="Q234" s="101" t="s">
        <v>61</v>
      </c>
      <c r="R234" s="102" t="s">
        <v>122</v>
      </c>
      <c r="S234" s="102" t="s">
        <v>123</v>
      </c>
      <c r="T234" s="102" t="s">
        <v>124</v>
      </c>
      <c r="U234" s="103" t="s">
        <v>125</v>
      </c>
    </row>
    <row r="235" spans="1:21" ht="15" x14ac:dyDescent="0.25">
      <c r="A235" s="115" t="str">
        <f>A96</f>
        <v>N/A</v>
      </c>
      <c r="B235" s="105">
        <v>1</v>
      </c>
      <c r="C235" s="106" t="e">
        <f>IF((VLOOKUP(A235,$A$96:$D$115,4,FALSE))="2D",(IF(B96&gt;C96,B235*($L$3+$L$5),B235*($L$3+$L$4))),((IF(B96&gt;C96,B235*($L$3+$L$5),B235*($L$3+$L$4)))))</f>
        <v>#N/A</v>
      </c>
      <c r="D235" s="107">
        <f>(E235*5.07+F235*2.85+G235*1.27+H235*0.71)</f>
        <v>0</v>
      </c>
      <c r="E235" s="110">
        <v>0</v>
      </c>
      <c r="F235" s="110">
        <v>0</v>
      </c>
      <c r="G235" s="110">
        <v>0</v>
      </c>
      <c r="H235" s="110">
        <v>0</v>
      </c>
      <c r="I235" s="105">
        <v>1</v>
      </c>
      <c r="J235" s="106" t="e">
        <f>IF((VLOOKUP(A235,$A$96:$D$115,4,FALSE))="2D",(IF(B96&lt;C96,I235*($L$3+$L$5),I235*($L$3+$L$4))),((IF(B96&lt;C96,I235*($L$3+$L$5),I235*($L$3+$L$4)))))</f>
        <v>#N/A</v>
      </c>
      <c r="K235" s="107">
        <f>(L235*5.07+M235*2.85+N235*1.27+O235*0.71)</f>
        <v>0</v>
      </c>
      <c r="L235" s="110">
        <v>0</v>
      </c>
      <c r="M235" s="110">
        <v>0</v>
      </c>
      <c r="N235" s="110">
        <v>0</v>
      </c>
      <c r="O235" s="111">
        <v>0</v>
      </c>
      <c r="Q235" s="100" t="str">
        <f>A235</f>
        <v>N/A</v>
      </c>
      <c r="R235" s="159" t="e">
        <f>IF(D96="2D",G235,IF(B96=(MIN(B96:C96)),G235,0))</f>
        <v>#N/A</v>
      </c>
      <c r="S235" s="159" t="e">
        <f>IF(D96="2D",N235,IF(C96=(MIN(B96:C96)),N235,0))</f>
        <v>#N/A</v>
      </c>
      <c r="T235" s="95" t="e">
        <f>K96-L96</f>
        <v>#N/A</v>
      </c>
      <c r="U235" s="95">
        <f>L96</f>
        <v>0.05</v>
      </c>
    </row>
    <row r="236" spans="1:21" ht="15" x14ac:dyDescent="0.25">
      <c r="A236" s="41" t="str">
        <f t="shared" ref="A236:A254" si="148">A97</f>
        <v>N/A</v>
      </c>
      <c r="B236" s="108">
        <v>1</v>
      </c>
      <c r="C236" s="37" t="e">
        <f t="shared" ref="C236:C254" si="149">IF((VLOOKUP(A236,$A$96:$D$115,4,FALSE))="2D",(IF(B97&gt;C97,B236*($L$3+$L$5),B236*($L$3+$L$4))),((IF(B97&gt;C97,B236*($L$3+$L$5),B236*($L$3+$L$4)))))</f>
        <v>#N/A</v>
      </c>
      <c r="D236" s="77">
        <f t="shared" ref="D236:D254" si="150">(E236*5.07+F236*2.85+G236*1.27+H236*0.71)</f>
        <v>0</v>
      </c>
      <c r="E236" s="39">
        <v>0</v>
      </c>
      <c r="F236" s="39">
        <v>0</v>
      </c>
      <c r="G236" s="39">
        <v>0</v>
      </c>
      <c r="H236" s="39">
        <v>0</v>
      </c>
      <c r="I236" s="108">
        <v>1</v>
      </c>
      <c r="J236" s="37" t="e">
        <f t="shared" ref="J236:J254" si="151">IF((VLOOKUP(A236,$A$96:$D$115,4,FALSE))="2D",(IF(B97&lt;C97,I236*($L$3+$L$5),I236*($L$3+$L$4))),((IF(B97&lt;C97,I236*($L$3+$L$5),I236*($L$3+$L$4)))))</f>
        <v>#N/A</v>
      </c>
      <c r="K236" s="77">
        <f t="shared" ref="K236:K254" si="152">(L236*5.07+M236*2.85+N236*1.27+O236*0.71)</f>
        <v>0</v>
      </c>
      <c r="L236" s="39">
        <v>0</v>
      </c>
      <c r="M236" s="39">
        <v>0</v>
      </c>
      <c r="N236" s="39">
        <v>0</v>
      </c>
      <c r="O236" s="40">
        <v>0</v>
      </c>
      <c r="Q236" s="99" t="str">
        <f t="shared" ref="Q236:Q254" si="153">A236</f>
        <v>N/A</v>
      </c>
      <c r="R236" s="159" t="e">
        <f t="shared" ref="R236:R254" si="154">IF(D97="2D",G236,IF(B97=(MIN(B97:C97)),G236,0))</f>
        <v>#N/A</v>
      </c>
      <c r="S236" s="159" t="e">
        <f t="shared" ref="S236:S254" si="155">IF(D97="2D",N236,IF(C97=(MIN(B97:C97)),N236,0))</f>
        <v>#N/A</v>
      </c>
      <c r="T236" s="95" t="e">
        <f t="shared" ref="T236:T254" si="156">K97-L97</f>
        <v>#N/A</v>
      </c>
      <c r="U236" s="95">
        <f t="shared" ref="U236:U254" si="157">L97</f>
        <v>0.05</v>
      </c>
    </row>
    <row r="237" spans="1:21" ht="15" x14ac:dyDescent="0.25">
      <c r="A237" s="41" t="str">
        <f t="shared" si="148"/>
        <v>N/A</v>
      </c>
      <c r="B237" s="108">
        <v>1</v>
      </c>
      <c r="C237" s="37" t="e">
        <f t="shared" si="149"/>
        <v>#N/A</v>
      </c>
      <c r="D237" s="77">
        <f t="shared" si="150"/>
        <v>0</v>
      </c>
      <c r="E237" s="39">
        <v>0</v>
      </c>
      <c r="F237" s="39">
        <v>0</v>
      </c>
      <c r="G237" s="39">
        <v>0</v>
      </c>
      <c r="H237" s="39">
        <v>0</v>
      </c>
      <c r="I237" s="108">
        <v>1</v>
      </c>
      <c r="J237" s="37" t="e">
        <f t="shared" si="151"/>
        <v>#N/A</v>
      </c>
      <c r="K237" s="77">
        <f t="shared" si="152"/>
        <v>0</v>
      </c>
      <c r="L237" s="39">
        <v>0</v>
      </c>
      <c r="M237" s="39">
        <v>0</v>
      </c>
      <c r="N237" s="39">
        <v>0</v>
      </c>
      <c r="O237" s="40">
        <v>0</v>
      </c>
      <c r="Q237" s="99" t="str">
        <f t="shared" si="153"/>
        <v>N/A</v>
      </c>
      <c r="R237" s="159" t="e">
        <f t="shared" si="154"/>
        <v>#N/A</v>
      </c>
      <c r="S237" s="159" t="e">
        <f t="shared" si="155"/>
        <v>#N/A</v>
      </c>
      <c r="T237" s="95" t="e">
        <f t="shared" si="156"/>
        <v>#N/A</v>
      </c>
      <c r="U237" s="95">
        <f t="shared" si="157"/>
        <v>0.05</v>
      </c>
    </row>
    <row r="238" spans="1:21" ht="15" x14ac:dyDescent="0.25">
      <c r="A238" s="41" t="str">
        <f t="shared" si="148"/>
        <v>N/A</v>
      </c>
      <c r="B238" s="108">
        <v>1</v>
      </c>
      <c r="C238" s="37" t="e">
        <f t="shared" si="149"/>
        <v>#N/A</v>
      </c>
      <c r="D238" s="77">
        <f t="shared" si="150"/>
        <v>0</v>
      </c>
      <c r="E238" s="39">
        <v>0</v>
      </c>
      <c r="F238" s="39">
        <v>0</v>
      </c>
      <c r="G238" s="39">
        <v>0</v>
      </c>
      <c r="H238" s="39">
        <v>0</v>
      </c>
      <c r="I238" s="108">
        <v>1</v>
      </c>
      <c r="J238" s="37" t="e">
        <f t="shared" si="151"/>
        <v>#N/A</v>
      </c>
      <c r="K238" s="77">
        <f t="shared" si="152"/>
        <v>0</v>
      </c>
      <c r="L238" s="39">
        <v>0</v>
      </c>
      <c r="M238" s="39">
        <v>0</v>
      </c>
      <c r="N238" s="39">
        <v>0</v>
      </c>
      <c r="O238" s="40">
        <v>0</v>
      </c>
      <c r="Q238" s="99" t="str">
        <f t="shared" si="153"/>
        <v>N/A</v>
      </c>
      <c r="R238" s="159" t="e">
        <f t="shared" si="154"/>
        <v>#N/A</v>
      </c>
      <c r="S238" s="159" t="e">
        <f t="shared" si="155"/>
        <v>#N/A</v>
      </c>
      <c r="T238" s="95" t="e">
        <f t="shared" si="156"/>
        <v>#N/A</v>
      </c>
      <c r="U238" s="95">
        <f t="shared" si="157"/>
        <v>0.05</v>
      </c>
    </row>
    <row r="239" spans="1:21" ht="15" x14ac:dyDescent="0.25">
      <c r="A239" s="41" t="str">
        <f t="shared" si="148"/>
        <v>N/A</v>
      </c>
      <c r="B239" s="108">
        <v>1</v>
      </c>
      <c r="C239" s="37" t="e">
        <f t="shared" si="149"/>
        <v>#N/A</v>
      </c>
      <c r="D239" s="77">
        <f t="shared" si="150"/>
        <v>0</v>
      </c>
      <c r="E239" s="39">
        <v>0</v>
      </c>
      <c r="F239" s="39">
        <v>0</v>
      </c>
      <c r="G239" s="39">
        <v>0</v>
      </c>
      <c r="H239" s="39">
        <v>0</v>
      </c>
      <c r="I239" s="108">
        <v>1</v>
      </c>
      <c r="J239" s="37" t="e">
        <f t="shared" si="151"/>
        <v>#N/A</v>
      </c>
      <c r="K239" s="77">
        <f t="shared" si="152"/>
        <v>0</v>
      </c>
      <c r="L239" s="39">
        <v>0</v>
      </c>
      <c r="M239" s="39">
        <v>0</v>
      </c>
      <c r="N239" s="39">
        <v>0</v>
      </c>
      <c r="O239" s="40">
        <v>0</v>
      </c>
      <c r="Q239" s="99" t="str">
        <f t="shared" si="153"/>
        <v>N/A</v>
      </c>
      <c r="R239" s="159" t="e">
        <f t="shared" si="154"/>
        <v>#N/A</v>
      </c>
      <c r="S239" s="159" t="e">
        <f t="shared" si="155"/>
        <v>#N/A</v>
      </c>
      <c r="T239" s="95" t="e">
        <f t="shared" si="156"/>
        <v>#N/A</v>
      </c>
      <c r="U239" s="95">
        <f t="shared" si="157"/>
        <v>0.05</v>
      </c>
    </row>
    <row r="240" spans="1:21" ht="15" x14ac:dyDescent="0.25">
      <c r="A240" s="41" t="str">
        <f t="shared" si="148"/>
        <v>N/A</v>
      </c>
      <c r="B240" s="108">
        <v>1</v>
      </c>
      <c r="C240" s="37" t="e">
        <f t="shared" si="149"/>
        <v>#N/A</v>
      </c>
      <c r="D240" s="77">
        <f t="shared" si="150"/>
        <v>0</v>
      </c>
      <c r="E240" s="39">
        <v>0</v>
      </c>
      <c r="F240" s="39">
        <v>0</v>
      </c>
      <c r="G240" s="39">
        <v>0</v>
      </c>
      <c r="H240" s="39">
        <v>0</v>
      </c>
      <c r="I240" s="108">
        <v>1</v>
      </c>
      <c r="J240" s="37" t="e">
        <f t="shared" si="151"/>
        <v>#N/A</v>
      </c>
      <c r="K240" s="77">
        <f t="shared" si="152"/>
        <v>0</v>
      </c>
      <c r="L240" s="39">
        <v>0</v>
      </c>
      <c r="M240" s="39">
        <v>0</v>
      </c>
      <c r="N240" s="39">
        <v>0</v>
      </c>
      <c r="O240" s="40">
        <v>0</v>
      </c>
      <c r="Q240" s="99" t="str">
        <f t="shared" si="153"/>
        <v>N/A</v>
      </c>
      <c r="R240" s="159" t="e">
        <f t="shared" si="154"/>
        <v>#N/A</v>
      </c>
      <c r="S240" s="159" t="e">
        <f t="shared" si="155"/>
        <v>#N/A</v>
      </c>
      <c r="T240" s="95" t="e">
        <f t="shared" si="156"/>
        <v>#N/A</v>
      </c>
      <c r="U240" s="95">
        <f t="shared" si="157"/>
        <v>0.05</v>
      </c>
    </row>
    <row r="241" spans="1:21" ht="15" x14ac:dyDescent="0.25">
      <c r="A241" s="41" t="str">
        <f t="shared" si="148"/>
        <v>N/A</v>
      </c>
      <c r="B241" s="108">
        <v>1</v>
      </c>
      <c r="C241" s="37" t="e">
        <f t="shared" si="149"/>
        <v>#N/A</v>
      </c>
      <c r="D241" s="77">
        <f t="shared" si="150"/>
        <v>0</v>
      </c>
      <c r="E241" s="39">
        <v>0</v>
      </c>
      <c r="F241" s="39">
        <v>0</v>
      </c>
      <c r="G241" s="39">
        <v>0</v>
      </c>
      <c r="H241" s="39">
        <v>0</v>
      </c>
      <c r="I241" s="108">
        <v>1</v>
      </c>
      <c r="J241" s="37" t="e">
        <f t="shared" si="151"/>
        <v>#N/A</v>
      </c>
      <c r="K241" s="77">
        <f t="shared" si="152"/>
        <v>0</v>
      </c>
      <c r="L241" s="39">
        <v>0</v>
      </c>
      <c r="M241" s="39">
        <v>0</v>
      </c>
      <c r="N241" s="39">
        <v>0</v>
      </c>
      <c r="O241" s="40">
        <v>0</v>
      </c>
      <c r="Q241" s="99" t="str">
        <f t="shared" si="153"/>
        <v>N/A</v>
      </c>
      <c r="R241" s="159" t="e">
        <f t="shared" si="154"/>
        <v>#N/A</v>
      </c>
      <c r="S241" s="159" t="e">
        <f t="shared" si="155"/>
        <v>#N/A</v>
      </c>
      <c r="T241" s="95" t="e">
        <f t="shared" si="156"/>
        <v>#N/A</v>
      </c>
      <c r="U241" s="95">
        <f t="shared" si="157"/>
        <v>0.05</v>
      </c>
    </row>
    <row r="242" spans="1:21" ht="15" x14ac:dyDescent="0.25">
      <c r="A242" s="41" t="str">
        <f t="shared" si="148"/>
        <v>N/A</v>
      </c>
      <c r="B242" s="108">
        <v>1</v>
      </c>
      <c r="C242" s="37" t="e">
        <f t="shared" si="149"/>
        <v>#N/A</v>
      </c>
      <c r="D242" s="77">
        <f t="shared" si="150"/>
        <v>0</v>
      </c>
      <c r="E242" s="39">
        <v>0</v>
      </c>
      <c r="F242" s="39">
        <v>0</v>
      </c>
      <c r="G242" s="39">
        <v>0</v>
      </c>
      <c r="H242" s="39">
        <v>0</v>
      </c>
      <c r="I242" s="108">
        <v>1</v>
      </c>
      <c r="J242" s="37" t="e">
        <f t="shared" si="151"/>
        <v>#N/A</v>
      </c>
      <c r="K242" s="77">
        <f t="shared" si="152"/>
        <v>0</v>
      </c>
      <c r="L242" s="39">
        <v>0</v>
      </c>
      <c r="M242" s="39">
        <v>0</v>
      </c>
      <c r="N242" s="39">
        <v>0</v>
      </c>
      <c r="O242" s="40">
        <v>0</v>
      </c>
      <c r="Q242" s="99" t="str">
        <f t="shared" si="153"/>
        <v>N/A</v>
      </c>
      <c r="R242" s="159" t="e">
        <f t="shared" si="154"/>
        <v>#N/A</v>
      </c>
      <c r="S242" s="159" t="e">
        <f t="shared" si="155"/>
        <v>#N/A</v>
      </c>
      <c r="T242" s="95" t="e">
        <f t="shared" si="156"/>
        <v>#N/A</v>
      </c>
      <c r="U242" s="95">
        <f t="shared" si="157"/>
        <v>0.05</v>
      </c>
    </row>
    <row r="243" spans="1:21" ht="15" x14ac:dyDescent="0.25">
      <c r="A243" s="41" t="str">
        <f t="shared" si="148"/>
        <v>N/A</v>
      </c>
      <c r="B243" s="108">
        <v>1</v>
      </c>
      <c r="C243" s="37" t="e">
        <f t="shared" si="149"/>
        <v>#N/A</v>
      </c>
      <c r="D243" s="77">
        <f t="shared" si="150"/>
        <v>0</v>
      </c>
      <c r="E243" s="39">
        <v>0</v>
      </c>
      <c r="F243" s="39">
        <v>0</v>
      </c>
      <c r="G243" s="39">
        <v>0</v>
      </c>
      <c r="H243" s="39">
        <v>0</v>
      </c>
      <c r="I243" s="108">
        <v>1</v>
      </c>
      <c r="J243" s="37" t="e">
        <f t="shared" si="151"/>
        <v>#N/A</v>
      </c>
      <c r="K243" s="77">
        <f t="shared" si="152"/>
        <v>0</v>
      </c>
      <c r="L243" s="39">
        <v>0</v>
      </c>
      <c r="M243" s="39">
        <v>0</v>
      </c>
      <c r="N243" s="39">
        <v>0</v>
      </c>
      <c r="O243" s="40">
        <v>0</v>
      </c>
      <c r="Q243" s="99" t="str">
        <f t="shared" si="153"/>
        <v>N/A</v>
      </c>
      <c r="R243" s="159" t="e">
        <f t="shared" si="154"/>
        <v>#N/A</v>
      </c>
      <c r="S243" s="159" t="e">
        <f t="shared" si="155"/>
        <v>#N/A</v>
      </c>
      <c r="T243" s="95" t="e">
        <f t="shared" si="156"/>
        <v>#N/A</v>
      </c>
      <c r="U243" s="95">
        <f t="shared" si="157"/>
        <v>0.05</v>
      </c>
    </row>
    <row r="244" spans="1:21" ht="15" x14ac:dyDescent="0.25">
      <c r="A244" s="41" t="str">
        <f t="shared" si="148"/>
        <v>N/A</v>
      </c>
      <c r="B244" s="108">
        <v>1</v>
      </c>
      <c r="C244" s="37" t="e">
        <f t="shared" si="149"/>
        <v>#N/A</v>
      </c>
      <c r="D244" s="77">
        <f t="shared" si="150"/>
        <v>0</v>
      </c>
      <c r="E244" s="39">
        <v>0</v>
      </c>
      <c r="F244" s="39">
        <v>0</v>
      </c>
      <c r="G244" s="39">
        <v>0</v>
      </c>
      <c r="H244" s="39">
        <v>0</v>
      </c>
      <c r="I244" s="108">
        <v>1</v>
      </c>
      <c r="J244" s="37" t="e">
        <f t="shared" si="151"/>
        <v>#N/A</v>
      </c>
      <c r="K244" s="77">
        <f t="shared" si="152"/>
        <v>0</v>
      </c>
      <c r="L244" s="39">
        <v>0</v>
      </c>
      <c r="M244" s="39">
        <v>0</v>
      </c>
      <c r="N244" s="39">
        <v>0</v>
      </c>
      <c r="O244" s="40">
        <v>0</v>
      </c>
      <c r="Q244" s="99" t="str">
        <f t="shared" si="153"/>
        <v>N/A</v>
      </c>
      <c r="R244" s="159" t="e">
        <f t="shared" si="154"/>
        <v>#N/A</v>
      </c>
      <c r="S244" s="159" t="e">
        <f t="shared" si="155"/>
        <v>#N/A</v>
      </c>
      <c r="T244" s="95" t="e">
        <f t="shared" si="156"/>
        <v>#N/A</v>
      </c>
      <c r="U244" s="95">
        <f t="shared" si="157"/>
        <v>0.05</v>
      </c>
    </row>
    <row r="245" spans="1:21" ht="15" x14ac:dyDescent="0.25">
      <c r="A245" s="41" t="str">
        <f t="shared" si="148"/>
        <v>N/A</v>
      </c>
      <c r="B245" s="108">
        <v>1</v>
      </c>
      <c r="C245" s="37" t="e">
        <f t="shared" si="149"/>
        <v>#N/A</v>
      </c>
      <c r="D245" s="77">
        <f t="shared" si="150"/>
        <v>0</v>
      </c>
      <c r="E245" s="39">
        <v>0</v>
      </c>
      <c r="F245" s="39">
        <v>0</v>
      </c>
      <c r="G245" s="39">
        <v>0</v>
      </c>
      <c r="H245" s="39">
        <v>0</v>
      </c>
      <c r="I245" s="108">
        <v>1</v>
      </c>
      <c r="J245" s="37" t="e">
        <f t="shared" si="151"/>
        <v>#N/A</v>
      </c>
      <c r="K245" s="77">
        <f t="shared" si="152"/>
        <v>0</v>
      </c>
      <c r="L245" s="39">
        <v>0</v>
      </c>
      <c r="M245" s="39">
        <v>0</v>
      </c>
      <c r="N245" s="39">
        <v>0</v>
      </c>
      <c r="O245" s="40">
        <v>0</v>
      </c>
      <c r="Q245" s="99" t="str">
        <f t="shared" si="153"/>
        <v>N/A</v>
      </c>
      <c r="R245" s="159" t="e">
        <f t="shared" si="154"/>
        <v>#N/A</v>
      </c>
      <c r="S245" s="159" t="e">
        <f t="shared" si="155"/>
        <v>#N/A</v>
      </c>
      <c r="T245" s="95" t="e">
        <f t="shared" si="156"/>
        <v>#N/A</v>
      </c>
      <c r="U245" s="95">
        <f t="shared" si="157"/>
        <v>0.05</v>
      </c>
    </row>
    <row r="246" spans="1:21" ht="15" x14ac:dyDescent="0.25">
      <c r="A246" s="41" t="str">
        <f t="shared" si="148"/>
        <v>N/A</v>
      </c>
      <c r="B246" s="108">
        <v>1</v>
      </c>
      <c r="C246" s="37" t="e">
        <f t="shared" si="149"/>
        <v>#N/A</v>
      </c>
      <c r="D246" s="77">
        <f t="shared" si="150"/>
        <v>0</v>
      </c>
      <c r="E246" s="39">
        <v>0</v>
      </c>
      <c r="F246" s="39">
        <v>0</v>
      </c>
      <c r="G246" s="39">
        <v>0</v>
      </c>
      <c r="H246" s="39">
        <v>0</v>
      </c>
      <c r="I246" s="108">
        <v>1</v>
      </c>
      <c r="J246" s="37" t="e">
        <f t="shared" si="151"/>
        <v>#N/A</v>
      </c>
      <c r="K246" s="77">
        <f t="shared" si="152"/>
        <v>0</v>
      </c>
      <c r="L246" s="39">
        <v>0</v>
      </c>
      <c r="M246" s="39">
        <v>0</v>
      </c>
      <c r="N246" s="39">
        <v>0</v>
      </c>
      <c r="O246" s="40">
        <v>0</v>
      </c>
      <c r="Q246" s="99" t="str">
        <f t="shared" si="153"/>
        <v>N/A</v>
      </c>
      <c r="R246" s="159" t="e">
        <f t="shared" si="154"/>
        <v>#N/A</v>
      </c>
      <c r="S246" s="159" t="e">
        <f t="shared" si="155"/>
        <v>#N/A</v>
      </c>
      <c r="T246" s="95" t="e">
        <f t="shared" si="156"/>
        <v>#N/A</v>
      </c>
      <c r="U246" s="95">
        <f t="shared" si="157"/>
        <v>0.05</v>
      </c>
    </row>
    <row r="247" spans="1:21" ht="15" x14ac:dyDescent="0.25">
      <c r="A247" s="41" t="str">
        <f t="shared" si="148"/>
        <v>N/A</v>
      </c>
      <c r="B247" s="108">
        <v>1</v>
      </c>
      <c r="C247" s="37" t="e">
        <f t="shared" si="149"/>
        <v>#N/A</v>
      </c>
      <c r="D247" s="77">
        <f t="shared" si="150"/>
        <v>0</v>
      </c>
      <c r="E247" s="39">
        <v>0</v>
      </c>
      <c r="F247" s="39">
        <v>0</v>
      </c>
      <c r="G247" s="39">
        <v>0</v>
      </c>
      <c r="H247" s="39">
        <v>0</v>
      </c>
      <c r="I247" s="108">
        <v>1</v>
      </c>
      <c r="J247" s="37" t="e">
        <f t="shared" si="151"/>
        <v>#N/A</v>
      </c>
      <c r="K247" s="77">
        <f t="shared" si="152"/>
        <v>0</v>
      </c>
      <c r="L247" s="39">
        <v>0</v>
      </c>
      <c r="M247" s="39">
        <v>0</v>
      </c>
      <c r="N247" s="39">
        <v>0</v>
      </c>
      <c r="O247" s="40">
        <v>0</v>
      </c>
      <c r="Q247" s="99" t="str">
        <f t="shared" si="153"/>
        <v>N/A</v>
      </c>
      <c r="R247" s="159" t="e">
        <f t="shared" si="154"/>
        <v>#N/A</v>
      </c>
      <c r="S247" s="159" t="e">
        <f t="shared" si="155"/>
        <v>#N/A</v>
      </c>
      <c r="T247" s="95" t="e">
        <f t="shared" si="156"/>
        <v>#N/A</v>
      </c>
      <c r="U247" s="95">
        <f t="shared" si="157"/>
        <v>0.05</v>
      </c>
    </row>
    <row r="248" spans="1:21" ht="15" x14ac:dyDescent="0.25">
      <c r="A248" s="41" t="str">
        <f t="shared" si="148"/>
        <v>N/A</v>
      </c>
      <c r="B248" s="108">
        <v>1</v>
      </c>
      <c r="C248" s="37" t="e">
        <f t="shared" si="149"/>
        <v>#N/A</v>
      </c>
      <c r="D248" s="77">
        <f t="shared" si="150"/>
        <v>0</v>
      </c>
      <c r="E248" s="39">
        <v>0</v>
      </c>
      <c r="F248" s="39">
        <v>0</v>
      </c>
      <c r="G248" s="39">
        <v>0</v>
      </c>
      <c r="H248" s="39">
        <v>0</v>
      </c>
      <c r="I248" s="108">
        <v>1</v>
      </c>
      <c r="J248" s="37" t="e">
        <f t="shared" si="151"/>
        <v>#N/A</v>
      </c>
      <c r="K248" s="77">
        <f t="shared" si="152"/>
        <v>0</v>
      </c>
      <c r="L248" s="39">
        <v>0</v>
      </c>
      <c r="M248" s="39">
        <v>0</v>
      </c>
      <c r="N248" s="39">
        <v>0</v>
      </c>
      <c r="O248" s="40">
        <v>0</v>
      </c>
      <c r="Q248" s="99" t="str">
        <f t="shared" si="153"/>
        <v>N/A</v>
      </c>
      <c r="R248" s="159" t="e">
        <f t="shared" si="154"/>
        <v>#N/A</v>
      </c>
      <c r="S248" s="159" t="e">
        <f t="shared" si="155"/>
        <v>#N/A</v>
      </c>
      <c r="T248" s="95" t="e">
        <f t="shared" si="156"/>
        <v>#N/A</v>
      </c>
      <c r="U248" s="95">
        <f t="shared" si="157"/>
        <v>0.05</v>
      </c>
    </row>
    <row r="249" spans="1:21" ht="15" x14ac:dyDescent="0.25">
      <c r="A249" s="41" t="str">
        <f t="shared" si="148"/>
        <v>N/A</v>
      </c>
      <c r="B249" s="108">
        <v>1</v>
      </c>
      <c r="C249" s="37" t="e">
        <f t="shared" si="149"/>
        <v>#N/A</v>
      </c>
      <c r="D249" s="77">
        <f t="shared" si="150"/>
        <v>0</v>
      </c>
      <c r="E249" s="39">
        <v>0</v>
      </c>
      <c r="F249" s="39">
        <v>0</v>
      </c>
      <c r="G249" s="39">
        <v>0</v>
      </c>
      <c r="H249" s="39">
        <v>0</v>
      </c>
      <c r="I249" s="108">
        <v>1</v>
      </c>
      <c r="J249" s="37" t="e">
        <f t="shared" si="151"/>
        <v>#N/A</v>
      </c>
      <c r="K249" s="77">
        <f t="shared" si="152"/>
        <v>0</v>
      </c>
      <c r="L249" s="39">
        <v>0</v>
      </c>
      <c r="M249" s="39">
        <v>0</v>
      </c>
      <c r="N249" s="39">
        <v>0</v>
      </c>
      <c r="O249" s="40">
        <v>0</v>
      </c>
      <c r="Q249" s="99" t="str">
        <f t="shared" si="153"/>
        <v>N/A</v>
      </c>
      <c r="R249" s="159" t="e">
        <f t="shared" si="154"/>
        <v>#N/A</v>
      </c>
      <c r="S249" s="159" t="e">
        <f t="shared" si="155"/>
        <v>#N/A</v>
      </c>
      <c r="T249" s="95" t="e">
        <f t="shared" si="156"/>
        <v>#N/A</v>
      </c>
      <c r="U249" s="95">
        <f t="shared" si="157"/>
        <v>0.05</v>
      </c>
    </row>
    <row r="250" spans="1:21" ht="15" x14ac:dyDescent="0.25">
      <c r="A250" s="41" t="str">
        <f t="shared" si="148"/>
        <v>N/A</v>
      </c>
      <c r="B250" s="108">
        <v>1</v>
      </c>
      <c r="C250" s="37" t="e">
        <f t="shared" si="149"/>
        <v>#N/A</v>
      </c>
      <c r="D250" s="77">
        <f t="shared" si="150"/>
        <v>0</v>
      </c>
      <c r="E250" s="39">
        <v>0</v>
      </c>
      <c r="F250" s="39">
        <v>0</v>
      </c>
      <c r="G250" s="39">
        <v>0</v>
      </c>
      <c r="H250" s="39">
        <v>0</v>
      </c>
      <c r="I250" s="108">
        <v>1</v>
      </c>
      <c r="J250" s="37" t="e">
        <f t="shared" si="151"/>
        <v>#N/A</v>
      </c>
      <c r="K250" s="77">
        <f t="shared" si="152"/>
        <v>0</v>
      </c>
      <c r="L250" s="39">
        <v>0</v>
      </c>
      <c r="M250" s="39">
        <v>0</v>
      </c>
      <c r="N250" s="39">
        <v>0</v>
      </c>
      <c r="O250" s="40">
        <v>0</v>
      </c>
      <c r="Q250" s="99" t="str">
        <f t="shared" si="153"/>
        <v>N/A</v>
      </c>
      <c r="R250" s="159" t="e">
        <f t="shared" si="154"/>
        <v>#N/A</v>
      </c>
      <c r="S250" s="159" t="e">
        <f t="shared" si="155"/>
        <v>#N/A</v>
      </c>
      <c r="T250" s="95" t="e">
        <f t="shared" si="156"/>
        <v>#N/A</v>
      </c>
      <c r="U250" s="95">
        <f t="shared" si="157"/>
        <v>0.05</v>
      </c>
    </row>
    <row r="251" spans="1:21" ht="15" x14ac:dyDescent="0.25">
      <c r="A251" s="41" t="str">
        <f t="shared" si="148"/>
        <v>N/A</v>
      </c>
      <c r="B251" s="108">
        <v>1</v>
      </c>
      <c r="C251" s="37" t="e">
        <f t="shared" si="149"/>
        <v>#N/A</v>
      </c>
      <c r="D251" s="77">
        <f t="shared" si="150"/>
        <v>0</v>
      </c>
      <c r="E251" s="39">
        <v>0</v>
      </c>
      <c r="F251" s="39">
        <v>0</v>
      </c>
      <c r="G251" s="39">
        <v>0</v>
      </c>
      <c r="H251" s="39">
        <v>0</v>
      </c>
      <c r="I251" s="108">
        <v>1</v>
      </c>
      <c r="J251" s="37" t="e">
        <f t="shared" si="151"/>
        <v>#N/A</v>
      </c>
      <c r="K251" s="77">
        <f t="shared" si="152"/>
        <v>0</v>
      </c>
      <c r="L251" s="39">
        <v>0</v>
      </c>
      <c r="M251" s="39">
        <v>0</v>
      </c>
      <c r="N251" s="39">
        <v>0</v>
      </c>
      <c r="O251" s="40">
        <v>0</v>
      </c>
      <c r="Q251" s="99" t="str">
        <f t="shared" si="153"/>
        <v>N/A</v>
      </c>
      <c r="R251" s="159" t="e">
        <f t="shared" si="154"/>
        <v>#N/A</v>
      </c>
      <c r="S251" s="159" t="e">
        <f t="shared" si="155"/>
        <v>#N/A</v>
      </c>
      <c r="T251" s="95" t="e">
        <f t="shared" si="156"/>
        <v>#N/A</v>
      </c>
      <c r="U251" s="95">
        <f t="shared" si="157"/>
        <v>0.05</v>
      </c>
    </row>
    <row r="252" spans="1:21" ht="15" x14ac:dyDescent="0.25">
      <c r="A252" s="41" t="str">
        <f t="shared" si="148"/>
        <v>N/A</v>
      </c>
      <c r="B252" s="108">
        <v>1</v>
      </c>
      <c r="C252" s="37" t="e">
        <f t="shared" si="149"/>
        <v>#N/A</v>
      </c>
      <c r="D252" s="77">
        <f t="shared" si="150"/>
        <v>0</v>
      </c>
      <c r="E252" s="39">
        <v>0</v>
      </c>
      <c r="F252" s="39">
        <v>0</v>
      </c>
      <c r="G252" s="39">
        <v>0</v>
      </c>
      <c r="H252" s="39">
        <v>0</v>
      </c>
      <c r="I252" s="108">
        <v>1</v>
      </c>
      <c r="J252" s="37" t="e">
        <f t="shared" si="151"/>
        <v>#N/A</v>
      </c>
      <c r="K252" s="77">
        <f t="shared" si="152"/>
        <v>0</v>
      </c>
      <c r="L252" s="39">
        <v>0</v>
      </c>
      <c r="M252" s="39">
        <v>0</v>
      </c>
      <c r="N252" s="39">
        <v>0</v>
      </c>
      <c r="O252" s="40">
        <v>0</v>
      </c>
      <c r="Q252" s="99" t="str">
        <f t="shared" si="153"/>
        <v>N/A</v>
      </c>
      <c r="R252" s="159" t="e">
        <f t="shared" si="154"/>
        <v>#N/A</v>
      </c>
      <c r="S252" s="159" t="e">
        <f t="shared" si="155"/>
        <v>#N/A</v>
      </c>
      <c r="T252" s="95" t="e">
        <f t="shared" si="156"/>
        <v>#N/A</v>
      </c>
      <c r="U252" s="95">
        <f t="shared" si="157"/>
        <v>0.05</v>
      </c>
    </row>
    <row r="253" spans="1:21" ht="15" x14ac:dyDescent="0.25">
      <c r="A253" s="41" t="str">
        <f t="shared" si="148"/>
        <v>N/A</v>
      </c>
      <c r="B253" s="108">
        <v>1</v>
      </c>
      <c r="C253" s="37" t="e">
        <f t="shared" si="149"/>
        <v>#N/A</v>
      </c>
      <c r="D253" s="77">
        <f t="shared" si="150"/>
        <v>0</v>
      </c>
      <c r="E253" s="39">
        <v>0</v>
      </c>
      <c r="F253" s="39">
        <v>0</v>
      </c>
      <c r="G253" s="39">
        <v>0</v>
      </c>
      <c r="H253" s="39">
        <v>0</v>
      </c>
      <c r="I253" s="108">
        <v>1</v>
      </c>
      <c r="J253" s="37" t="e">
        <f t="shared" si="151"/>
        <v>#N/A</v>
      </c>
      <c r="K253" s="77">
        <f t="shared" si="152"/>
        <v>0</v>
      </c>
      <c r="L253" s="39">
        <v>0</v>
      </c>
      <c r="M253" s="39">
        <v>0</v>
      </c>
      <c r="N253" s="39">
        <v>0</v>
      </c>
      <c r="O253" s="40">
        <v>0</v>
      </c>
      <c r="Q253" s="99" t="str">
        <f t="shared" si="153"/>
        <v>N/A</v>
      </c>
      <c r="R253" s="159" t="e">
        <f t="shared" si="154"/>
        <v>#N/A</v>
      </c>
      <c r="S253" s="159" t="e">
        <f t="shared" si="155"/>
        <v>#N/A</v>
      </c>
      <c r="T253" s="95" t="e">
        <f t="shared" si="156"/>
        <v>#N/A</v>
      </c>
      <c r="U253" s="95">
        <f t="shared" si="157"/>
        <v>0.05</v>
      </c>
    </row>
    <row r="254" spans="1:21" ht="15.75" thickBot="1" x14ac:dyDescent="0.3">
      <c r="A254" s="42" t="str">
        <f t="shared" si="148"/>
        <v>N/A</v>
      </c>
      <c r="B254" s="114">
        <v>1</v>
      </c>
      <c r="C254" s="109" t="e">
        <f t="shared" si="149"/>
        <v>#N/A</v>
      </c>
      <c r="D254" s="23">
        <f t="shared" si="150"/>
        <v>0</v>
      </c>
      <c r="E254" s="112">
        <v>0</v>
      </c>
      <c r="F254" s="112">
        <v>0</v>
      </c>
      <c r="G254" s="112">
        <v>0</v>
      </c>
      <c r="H254" s="112">
        <v>0</v>
      </c>
      <c r="I254" s="114">
        <v>1</v>
      </c>
      <c r="J254" s="109" t="e">
        <f t="shared" si="151"/>
        <v>#N/A</v>
      </c>
      <c r="K254" s="23">
        <f t="shared" si="152"/>
        <v>0</v>
      </c>
      <c r="L254" s="112">
        <v>0</v>
      </c>
      <c r="M254" s="112">
        <v>0</v>
      </c>
      <c r="N254" s="112">
        <v>0</v>
      </c>
      <c r="O254" s="113">
        <v>0</v>
      </c>
      <c r="Q254" s="99" t="str">
        <f t="shared" si="153"/>
        <v>N/A</v>
      </c>
      <c r="R254" s="159" t="e">
        <f t="shared" si="154"/>
        <v>#N/A</v>
      </c>
      <c r="S254" s="159" t="e">
        <f t="shared" si="155"/>
        <v>#N/A</v>
      </c>
      <c r="T254" s="95" t="e">
        <f t="shared" si="156"/>
        <v>#N/A</v>
      </c>
      <c r="U254" s="95">
        <f t="shared" si="157"/>
        <v>0.05</v>
      </c>
    </row>
    <row r="255" spans="1:21" ht="14.25" thickBot="1" x14ac:dyDescent="0.3">
      <c r="A255" s="41"/>
      <c r="B255"/>
      <c r="C255" s="37"/>
      <c r="D255" s="24"/>
      <c r="E255" s="39"/>
      <c r="F255" s="39"/>
      <c r="G255" s="39"/>
      <c r="H255" s="39"/>
      <c r="I255"/>
      <c r="J255" s="38"/>
      <c r="K255" s="24"/>
      <c r="L255" s="39"/>
      <c r="M255" s="39"/>
      <c r="N255" s="39"/>
      <c r="O255" s="40"/>
    </row>
    <row r="256" spans="1:21" ht="16.5" thickBot="1" x14ac:dyDescent="0.3">
      <c r="A256" s="41"/>
      <c r="B256"/>
      <c r="C256" s="37"/>
      <c r="D256" s="24"/>
      <c r="E256" s="39"/>
      <c r="F256" s="39"/>
      <c r="G256" s="39"/>
      <c r="H256" s="39"/>
      <c r="I256"/>
      <c r="J256" s="38"/>
      <c r="K256" s="24"/>
      <c r="L256" s="39"/>
      <c r="M256" s="39"/>
      <c r="N256" s="39"/>
      <c r="O256" s="40"/>
      <c r="Q256" s="166" t="str">
        <f ca="1">'Espesor Techo'!AB2</f>
        <v xml:space="preserve"> Techo</v>
      </c>
      <c r="R256" s="167"/>
      <c r="S256" s="167"/>
      <c r="T256" s="167"/>
      <c r="U256" s="168"/>
    </row>
    <row r="257" spans="1:21" ht="16.5" thickBot="1" x14ac:dyDescent="0.3">
      <c r="A257" s="169" t="str">
        <f ca="1">REPT('Espesor Techo'!AC2,32)</f>
        <v xml:space="preserve"> Techo / Techo / Techo / Techo / Techo / Techo / Techo / Techo / Techo / Techo / Techo / Techo / Techo / Techo / Techo / Techo / Techo / Techo / Techo / Techo / Techo / Techo / Techo / Techo / Techo / Techo / Techo / Techo / Techo / Techo / Techo / Techo /</v>
      </c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1"/>
      <c r="Q257" s="101" t="s">
        <v>61</v>
      </c>
      <c r="R257" s="102" t="s">
        <v>122</v>
      </c>
      <c r="S257" s="102" t="s">
        <v>123</v>
      </c>
      <c r="T257" s="102" t="s">
        <v>124</v>
      </c>
      <c r="U257" s="103" t="s">
        <v>125</v>
      </c>
    </row>
    <row r="258" spans="1:21" ht="15" x14ac:dyDescent="0.25">
      <c r="A258" s="115" t="str">
        <f t="shared" ref="A258:A277" si="158">A117</f>
        <v>N/A</v>
      </c>
      <c r="B258" s="105">
        <v>1</v>
      </c>
      <c r="C258" s="106" t="e">
        <f>IF((VLOOKUP(A258,$A$117:$D$136,4,FALSE))="2D",(IF(B117&gt;C117,B258*($L$3+$L$5),B258*($L$3+$L$4))),((IF(B117&gt;C117,B258*($L$3+$L$5),B258*($L$3+$L$4)))))</f>
        <v>#N/A</v>
      </c>
      <c r="D258" s="107">
        <f>(E258*5.07+F258*2.85+G258*1.27+H258*0.71)</f>
        <v>0</v>
      </c>
      <c r="E258" s="110">
        <v>0</v>
      </c>
      <c r="F258" s="110">
        <v>0</v>
      </c>
      <c r="G258" s="110">
        <v>0</v>
      </c>
      <c r="H258" s="110">
        <v>0</v>
      </c>
      <c r="I258" s="105">
        <v>1</v>
      </c>
      <c r="J258" s="106" t="e">
        <f>IF((VLOOKUP(A258,$A$117:$D$136,4,FALSE))="2D",(IF(B117&lt;C117,I258*($L$3+$L$5),I258*($L$3+$L$4))),((IF(B117&lt;C117,I258*($L$3+$L$5),I258*($L$3+$L$4)))))</f>
        <v>#N/A</v>
      </c>
      <c r="K258" s="107">
        <f>(L258*5.07+M258*2.85+N258*1.27+O258*0.71)</f>
        <v>0</v>
      </c>
      <c r="L258" s="110">
        <v>0</v>
      </c>
      <c r="M258" s="110">
        <v>0</v>
      </c>
      <c r="N258" s="110">
        <v>0</v>
      </c>
      <c r="O258" s="111">
        <v>0</v>
      </c>
      <c r="Q258" s="100" t="str">
        <f>A258</f>
        <v>N/A</v>
      </c>
      <c r="R258" s="159" t="e">
        <f>IF(D117="2D",G258,IF(B117=(MIN(B117:C117)),G258,0))</f>
        <v>#N/A</v>
      </c>
      <c r="S258" s="159" t="e">
        <f>IF(D117="2D",N258,IF(C117=(MIN(B117:C117)),N258,0))</f>
        <v>#N/A</v>
      </c>
      <c r="T258" s="95" t="e">
        <f>K117-L117</f>
        <v>#N/A</v>
      </c>
      <c r="U258" s="95">
        <f>L117</f>
        <v>0.05</v>
      </c>
    </row>
    <row r="259" spans="1:21" ht="15" x14ac:dyDescent="0.25">
      <c r="A259" s="41" t="str">
        <f t="shared" si="158"/>
        <v>N/A</v>
      </c>
      <c r="B259" s="108">
        <v>1</v>
      </c>
      <c r="C259" s="37" t="e">
        <f t="shared" ref="C259:C277" si="159">IF((VLOOKUP(A259,$A$117:$D$136,4,FALSE))="2D",(IF(B118&gt;C118,B259*($L$3+$L$5),B259*($L$3+$L$4))),((IF(B118&gt;C118,B259*($L$3+$L$5),B259*($L$3+$L$4)))))</f>
        <v>#N/A</v>
      </c>
      <c r="D259" s="77">
        <f t="shared" ref="D259:D277" si="160">(E259*5.07+F259*2.85+G259*1.27+H259*0.71)</f>
        <v>0</v>
      </c>
      <c r="E259" s="39">
        <v>0</v>
      </c>
      <c r="F259" s="39">
        <v>0</v>
      </c>
      <c r="G259" s="39">
        <v>0</v>
      </c>
      <c r="H259" s="39">
        <v>0</v>
      </c>
      <c r="I259" s="108">
        <v>1</v>
      </c>
      <c r="J259" s="37" t="e">
        <f t="shared" ref="J259:J277" si="161">IF((VLOOKUP(A259,$A$117:$D$136,4,FALSE))="2D",(IF(B118&lt;C118,I259*($L$3+$L$5),I259*($L$3+$L$4))),((IF(B118&lt;C118,I259*($L$3+$L$5),I259*($L$3+$L$4)))))</f>
        <v>#N/A</v>
      </c>
      <c r="K259" s="77">
        <f t="shared" ref="K259:K277" si="162">(L259*5.07+M259*2.85+N259*1.27+O259*0.71)</f>
        <v>0</v>
      </c>
      <c r="L259" s="39">
        <v>0</v>
      </c>
      <c r="M259" s="39">
        <v>0</v>
      </c>
      <c r="N259" s="39">
        <v>0</v>
      </c>
      <c r="O259" s="40">
        <v>0</v>
      </c>
      <c r="Q259" s="99" t="str">
        <f t="shared" ref="Q259:Q277" si="163">A259</f>
        <v>N/A</v>
      </c>
      <c r="R259" s="159" t="e">
        <f t="shared" ref="R259:R277" si="164">IF(D118="2D",G259,IF(B118=(MIN(B118:C118)),G259,0))</f>
        <v>#N/A</v>
      </c>
      <c r="S259" s="159" t="e">
        <f t="shared" ref="S259:S277" si="165">IF(D118="2D",N259,IF(C118=(MIN(B118:C118)),N259,0))</f>
        <v>#N/A</v>
      </c>
      <c r="T259" s="95" t="e">
        <f t="shared" ref="T259:T277" si="166">K118-L118</f>
        <v>#N/A</v>
      </c>
      <c r="U259" s="95">
        <f t="shared" ref="U259:U277" si="167">L118</f>
        <v>0.05</v>
      </c>
    </row>
    <row r="260" spans="1:21" ht="15" x14ac:dyDescent="0.25">
      <c r="A260" s="41" t="str">
        <f t="shared" si="158"/>
        <v>N/A</v>
      </c>
      <c r="B260" s="108">
        <v>1</v>
      </c>
      <c r="C260" s="37" t="e">
        <f t="shared" si="159"/>
        <v>#N/A</v>
      </c>
      <c r="D260" s="77">
        <f t="shared" si="160"/>
        <v>0</v>
      </c>
      <c r="E260" s="39">
        <v>0</v>
      </c>
      <c r="F260" s="39">
        <v>0</v>
      </c>
      <c r="G260" s="39">
        <v>0</v>
      </c>
      <c r="H260" s="39">
        <v>0</v>
      </c>
      <c r="I260" s="108">
        <v>1</v>
      </c>
      <c r="J260" s="37" t="e">
        <f t="shared" si="161"/>
        <v>#N/A</v>
      </c>
      <c r="K260" s="77">
        <f t="shared" si="162"/>
        <v>0</v>
      </c>
      <c r="L260" s="39">
        <v>0</v>
      </c>
      <c r="M260" s="39">
        <v>0</v>
      </c>
      <c r="N260" s="39">
        <v>0</v>
      </c>
      <c r="O260" s="40">
        <v>0</v>
      </c>
      <c r="Q260" s="99" t="str">
        <f t="shared" si="163"/>
        <v>N/A</v>
      </c>
      <c r="R260" s="159" t="e">
        <f t="shared" si="164"/>
        <v>#N/A</v>
      </c>
      <c r="S260" s="159" t="e">
        <f t="shared" si="165"/>
        <v>#N/A</v>
      </c>
      <c r="T260" s="95" t="e">
        <f t="shared" si="166"/>
        <v>#N/A</v>
      </c>
      <c r="U260" s="95">
        <f t="shared" si="167"/>
        <v>0.05</v>
      </c>
    </row>
    <row r="261" spans="1:21" ht="15" x14ac:dyDescent="0.25">
      <c r="A261" s="41" t="str">
        <f t="shared" si="158"/>
        <v>N/A</v>
      </c>
      <c r="B261" s="108">
        <v>1</v>
      </c>
      <c r="C261" s="37" t="e">
        <f t="shared" si="159"/>
        <v>#N/A</v>
      </c>
      <c r="D261" s="77">
        <f t="shared" si="160"/>
        <v>0</v>
      </c>
      <c r="E261" s="39">
        <v>0</v>
      </c>
      <c r="F261" s="39">
        <v>0</v>
      </c>
      <c r="G261" s="39">
        <v>0</v>
      </c>
      <c r="H261" s="39">
        <v>0</v>
      </c>
      <c r="I261" s="108">
        <v>1</v>
      </c>
      <c r="J261" s="37" t="e">
        <f t="shared" si="161"/>
        <v>#N/A</v>
      </c>
      <c r="K261" s="77">
        <f t="shared" si="162"/>
        <v>0</v>
      </c>
      <c r="L261" s="39">
        <v>0</v>
      </c>
      <c r="M261" s="39">
        <v>0</v>
      </c>
      <c r="N261" s="39">
        <v>0</v>
      </c>
      <c r="O261" s="40">
        <v>0</v>
      </c>
      <c r="Q261" s="99" t="str">
        <f t="shared" si="163"/>
        <v>N/A</v>
      </c>
      <c r="R261" s="159" t="e">
        <f t="shared" si="164"/>
        <v>#N/A</v>
      </c>
      <c r="S261" s="159" t="e">
        <f t="shared" si="165"/>
        <v>#N/A</v>
      </c>
      <c r="T261" s="95" t="e">
        <f t="shared" si="166"/>
        <v>#N/A</v>
      </c>
      <c r="U261" s="95">
        <f t="shared" si="167"/>
        <v>0.05</v>
      </c>
    </row>
    <row r="262" spans="1:21" ht="15" x14ac:dyDescent="0.25">
      <c r="A262" s="41" t="str">
        <f t="shared" si="158"/>
        <v>N/A</v>
      </c>
      <c r="B262" s="108">
        <v>1</v>
      </c>
      <c r="C262" s="37" t="e">
        <f t="shared" si="159"/>
        <v>#N/A</v>
      </c>
      <c r="D262" s="77">
        <f t="shared" si="160"/>
        <v>0</v>
      </c>
      <c r="E262" s="39">
        <v>0</v>
      </c>
      <c r="F262" s="39">
        <v>0</v>
      </c>
      <c r="G262" s="39">
        <v>0</v>
      </c>
      <c r="H262" s="39">
        <v>0</v>
      </c>
      <c r="I262" s="108">
        <v>1</v>
      </c>
      <c r="J262" s="37" t="e">
        <f t="shared" si="161"/>
        <v>#N/A</v>
      </c>
      <c r="K262" s="77">
        <f t="shared" si="162"/>
        <v>0</v>
      </c>
      <c r="L262" s="39">
        <v>0</v>
      </c>
      <c r="M262" s="39">
        <v>0</v>
      </c>
      <c r="N262" s="39">
        <v>0</v>
      </c>
      <c r="O262" s="40">
        <v>0</v>
      </c>
      <c r="Q262" s="99" t="str">
        <f t="shared" si="163"/>
        <v>N/A</v>
      </c>
      <c r="R262" s="159" t="e">
        <f t="shared" si="164"/>
        <v>#N/A</v>
      </c>
      <c r="S262" s="159" t="e">
        <f t="shared" si="165"/>
        <v>#N/A</v>
      </c>
      <c r="T262" s="95" t="e">
        <f t="shared" si="166"/>
        <v>#N/A</v>
      </c>
      <c r="U262" s="95">
        <f t="shared" si="167"/>
        <v>0.05</v>
      </c>
    </row>
    <row r="263" spans="1:21" ht="15" x14ac:dyDescent="0.25">
      <c r="A263" s="41" t="str">
        <f t="shared" si="158"/>
        <v>N/A</v>
      </c>
      <c r="B263" s="108">
        <v>1</v>
      </c>
      <c r="C263" s="37" t="e">
        <f t="shared" si="159"/>
        <v>#N/A</v>
      </c>
      <c r="D263" s="77">
        <f t="shared" si="160"/>
        <v>0</v>
      </c>
      <c r="E263" s="39">
        <v>0</v>
      </c>
      <c r="F263" s="39">
        <v>0</v>
      </c>
      <c r="G263" s="39">
        <v>0</v>
      </c>
      <c r="H263" s="39">
        <v>0</v>
      </c>
      <c r="I263" s="108">
        <v>1</v>
      </c>
      <c r="J263" s="37" t="e">
        <f t="shared" si="161"/>
        <v>#N/A</v>
      </c>
      <c r="K263" s="77">
        <f t="shared" si="162"/>
        <v>0</v>
      </c>
      <c r="L263" s="39">
        <v>0</v>
      </c>
      <c r="M263" s="39">
        <v>0</v>
      </c>
      <c r="N263" s="39">
        <v>0</v>
      </c>
      <c r="O263" s="40">
        <v>0</v>
      </c>
      <c r="Q263" s="99" t="str">
        <f t="shared" si="163"/>
        <v>N/A</v>
      </c>
      <c r="R263" s="159" t="e">
        <f t="shared" si="164"/>
        <v>#N/A</v>
      </c>
      <c r="S263" s="159" t="e">
        <f t="shared" si="165"/>
        <v>#N/A</v>
      </c>
      <c r="T263" s="95" t="e">
        <f t="shared" si="166"/>
        <v>#N/A</v>
      </c>
      <c r="U263" s="95">
        <f t="shared" si="167"/>
        <v>0.05</v>
      </c>
    </row>
    <row r="264" spans="1:21" ht="15" x14ac:dyDescent="0.25">
      <c r="A264" s="41" t="str">
        <f t="shared" si="158"/>
        <v>N/A</v>
      </c>
      <c r="B264" s="108">
        <v>1</v>
      </c>
      <c r="C264" s="37" t="e">
        <f t="shared" si="159"/>
        <v>#N/A</v>
      </c>
      <c r="D264" s="77">
        <f t="shared" si="160"/>
        <v>0</v>
      </c>
      <c r="E264" s="39">
        <v>0</v>
      </c>
      <c r="F264" s="39">
        <v>0</v>
      </c>
      <c r="G264" s="39">
        <v>0</v>
      </c>
      <c r="H264" s="39">
        <v>0</v>
      </c>
      <c r="I264" s="108">
        <v>1</v>
      </c>
      <c r="J264" s="37" t="e">
        <f t="shared" si="161"/>
        <v>#N/A</v>
      </c>
      <c r="K264" s="77">
        <f t="shared" si="162"/>
        <v>0</v>
      </c>
      <c r="L264" s="39">
        <v>0</v>
      </c>
      <c r="M264" s="39">
        <v>0</v>
      </c>
      <c r="N264" s="39">
        <v>0</v>
      </c>
      <c r="O264" s="40">
        <v>0</v>
      </c>
      <c r="Q264" s="99" t="str">
        <f t="shared" si="163"/>
        <v>N/A</v>
      </c>
      <c r="R264" s="159" t="e">
        <f t="shared" si="164"/>
        <v>#N/A</v>
      </c>
      <c r="S264" s="159" t="e">
        <f t="shared" si="165"/>
        <v>#N/A</v>
      </c>
      <c r="T264" s="95" t="e">
        <f t="shared" si="166"/>
        <v>#N/A</v>
      </c>
      <c r="U264" s="95">
        <f t="shared" si="167"/>
        <v>0.05</v>
      </c>
    </row>
    <row r="265" spans="1:21" ht="15" x14ac:dyDescent="0.25">
      <c r="A265" s="41" t="str">
        <f t="shared" si="158"/>
        <v>N/A</v>
      </c>
      <c r="B265" s="108">
        <v>1</v>
      </c>
      <c r="C265" s="37" t="e">
        <f t="shared" si="159"/>
        <v>#N/A</v>
      </c>
      <c r="D265" s="77">
        <f t="shared" si="160"/>
        <v>0</v>
      </c>
      <c r="E265" s="39">
        <v>0</v>
      </c>
      <c r="F265" s="39">
        <v>0</v>
      </c>
      <c r="G265" s="39">
        <v>0</v>
      </c>
      <c r="H265" s="39">
        <v>0</v>
      </c>
      <c r="I265" s="108">
        <v>1</v>
      </c>
      <c r="J265" s="37" t="e">
        <f t="shared" si="161"/>
        <v>#N/A</v>
      </c>
      <c r="K265" s="77">
        <f t="shared" si="162"/>
        <v>0</v>
      </c>
      <c r="L265" s="39">
        <v>0</v>
      </c>
      <c r="M265" s="39">
        <v>0</v>
      </c>
      <c r="N265" s="39">
        <v>0</v>
      </c>
      <c r="O265" s="40">
        <v>0</v>
      </c>
      <c r="Q265" s="99" t="str">
        <f t="shared" si="163"/>
        <v>N/A</v>
      </c>
      <c r="R265" s="159" t="e">
        <f t="shared" si="164"/>
        <v>#N/A</v>
      </c>
      <c r="S265" s="159" t="e">
        <f t="shared" si="165"/>
        <v>#N/A</v>
      </c>
      <c r="T265" s="95" t="e">
        <f t="shared" si="166"/>
        <v>#N/A</v>
      </c>
      <c r="U265" s="95">
        <f t="shared" si="167"/>
        <v>0.05</v>
      </c>
    </row>
    <row r="266" spans="1:21" ht="15" x14ac:dyDescent="0.25">
      <c r="A266" s="41" t="str">
        <f t="shared" si="158"/>
        <v>N/A</v>
      </c>
      <c r="B266" s="108">
        <v>1</v>
      </c>
      <c r="C266" s="37" t="e">
        <f t="shared" si="159"/>
        <v>#N/A</v>
      </c>
      <c r="D266" s="77">
        <f t="shared" si="160"/>
        <v>0</v>
      </c>
      <c r="E266" s="39">
        <v>0</v>
      </c>
      <c r="F266" s="39">
        <v>0</v>
      </c>
      <c r="G266" s="39">
        <v>0</v>
      </c>
      <c r="H266" s="39">
        <v>0</v>
      </c>
      <c r="I266" s="108">
        <v>1</v>
      </c>
      <c r="J266" s="37" t="e">
        <f t="shared" si="161"/>
        <v>#N/A</v>
      </c>
      <c r="K266" s="77">
        <f t="shared" si="162"/>
        <v>0</v>
      </c>
      <c r="L266" s="39">
        <v>0</v>
      </c>
      <c r="M266" s="39">
        <v>0</v>
      </c>
      <c r="N266" s="39">
        <v>0</v>
      </c>
      <c r="O266" s="40">
        <v>0</v>
      </c>
      <c r="Q266" s="99" t="str">
        <f t="shared" si="163"/>
        <v>N/A</v>
      </c>
      <c r="R266" s="159" t="e">
        <f t="shared" si="164"/>
        <v>#N/A</v>
      </c>
      <c r="S266" s="159" t="e">
        <f t="shared" si="165"/>
        <v>#N/A</v>
      </c>
      <c r="T266" s="95" t="e">
        <f t="shared" si="166"/>
        <v>#N/A</v>
      </c>
      <c r="U266" s="95">
        <f t="shared" si="167"/>
        <v>0.05</v>
      </c>
    </row>
    <row r="267" spans="1:21" ht="15" x14ac:dyDescent="0.25">
      <c r="A267" s="41" t="str">
        <f t="shared" si="158"/>
        <v>N/A</v>
      </c>
      <c r="B267" s="108">
        <v>1</v>
      </c>
      <c r="C267" s="37" t="e">
        <f t="shared" si="159"/>
        <v>#N/A</v>
      </c>
      <c r="D267" s="77">
        <f t="shared" si="160"/>
        <v>0</v>
      </c>
      <c r="E267" s="39">
        <v>0</v>
      </c>
      <c r="F267" s="39">
        <v>0</v>
      </c>
      <c r="G267" s="39">
        <v>0</v>
      </c>
      <c r="H267" s="39">
        <v>0</v>
      </c>
      <c r="I267" s="108">
        <v>1</v>
      </c>
      <c r="J267" s="37" t="e">
        <f t="shared" si="161"/>
        <v>#N/A</v>
      </c>
      <c r="K267" s="77">
        <f t="shared" si="162"/>
        <v>0</v>
      </c>
      <c r="L267" s="39">
        <v>0</v>
      </c>
      <c r="M267" s="39">
        <v>0</v>
      </c>
      <c r="N267" s="39">
        <v>0</v>
      </c>
      <c r="O267" s="40">
        <v>0</v>
      </c>
      <c r="Q267" s="99" t="str">
        <f t="shared" si="163"/>
        <v>N/A</v>
      </c>
      <c r="R267" s="159" t="e">
        <f t="shared" si="164"/>
        <v>#N/A</v>
      </c>
      <c r="S267" s="159" t="e">
        <f t="shared" si="165"/>
        <v>#N/A</v>
      </c>
      <c r="T267" s="95" t="e">
        <f t="shared" si="166"/>
        <v>#N/A</v>
      </c>
      <c r="U267" s="95">
        <f t="shared" si="167"/>
        <v>0.05</v>
      </c>
    </row>
    <row r="268" spans="1:21" ht="15" x14ac:dyDescent="0.25">
      <c r="A268" s="41" t="str">
        <f t="shared" si="158"/>
        <v>N/A</v>
      </c>
      <c r="B268" s="108">
        <v>1</v>
      </c>
      <c r="C268" s="37" t="e">
        <f t="shared" si="159"/>
        <v>#N/A</v>
      </c>
      <c r="D268" s="77">
        <f t="shared" si="160"/>
        <v>0</v>
      </c>
      <c r="E268" s="39">
        <v>0</v>
      </c>
      <c r="F268" s="39">
        <v>0</v>
      </c>
      <c r="G268" s="39">
        <v>0</v>
      </c>
      <c r="H268" s="39">
        <v>0</v>
      </c>
      <c r="I268" s="108">
        <v>1</v>
      </c>
      <c r="J268" s="37" t="e">
        <f t="shared" si="161"/>
        <v>#N/A</v>
      </c>
      <c r="K268" s="77">
        <f t="shared" si="162"/>
        <v>0</v>
      </c>
      <c r="L268" s="39">
        <v>0</v>
      </c>
      <c r="M268" s="39">
        <v>0</v>
      </c>
      <c r="N268" s="39">
        <v>0</v>
      </c>
      <c r="O268" s="40">
        <v>0</v>
      </c>
      <c r="Q268" s="99" t="str">
        <f t="shared" si="163"/>
        <v>N/A</v>
      </c>
      <c r="R268" s="159" t="e">
        <f t="shared" si="164"/>
        <v>#N/A</v>
      </c>
      <c r="S268" s="159" t="e">
        <f t="shared" si="165"/>
        <v>#N/A</v>
      </c>
      <c r="T268" s="95" t="e">
        <f t="shared" si="166"/>
        <v>#N/A</v>
      </c>
      <c r="U268" s="95">
        <f t="shared" si="167"/>
        <v>0.05</v>
      </c>
    </row>
    <row r="269" spans="1:21" ht="15" x14ac:dyDescent="0.25">
      <c r="A269" s="41" t="str">
        <f t="shared" si="158"/>
        <v>N/A</v>
      </c>
      <c r="B269" s="108">
        <v>1</v>
      </c>
      <c r="C269" s="37" t="e">
        <f t="shared" si="159"/>
        <v>#N/A</v>
      </c>
      <c r="D269" s="77">
        <f t="shared" si="160"/>
        <v>0</v>
      </c>
      <c r="E269" s="39">
        <v>0</v>
      </c>
      <c r="F269" s="39">
        <v>0</v>
      </c>
      <c r="G269" s="39">
        <v>0</v>
      </c>
      <c r="H269" s="39">
        <v>0</v>
      </c>
      <c r="I269" s="108">
        <v>1</v>
      </c>
      <c r="J269" s="37" t="e">
        <f t="shared" si="161"/>
        <v>#N/A</v>
      </c>
      <c r="K269" s="77">
        <f t="shared" si="162"/>
        <v>0</v>
      </c>
      <c r="L269" s="39">
        <v>0</v>
      </c>
      <c r="M269" s="39">
        <v>0</v>
      </c>
      <c r="N269" s="39">
        <v>0</v>
      </c>
      <c r="O269" s="40">
        <v>0</v>
      </c>
      <c r="Q269" s="99" t="str">
        <f t="shared" si="163"/>
        <v>N/A</v>
      </c>
      <c r="R269" s="159" t="e">
        <f t="shared" si="164"/>
        <v>#N/A</v>
      </c>
      <c r="S269" s="159" t="e">
        <f t="shared" si="165"/>
        <v>#N/A</v>
      </c>
      <c r="T269" s="95" t="e">
        <f t="shared" si="166"/>
        <v>#N/A</v>
      </c>
      <c r="U269" s="95">
        <f t="shared" si="167"/>
        <v>0.05</v>
      </c>
    </row>
    <row r="270" spans="1:21" ht="15" x14ac:dyDescent="0.25">
      <c r="A270" s="41" t="str">
        <f t="shared" si="158"/>
        <v>N/A</v>
      </c>
      <c r="B270" s="108">
        <v>1</v>
      </c>
      <c r="C270" s="37" t="e">
        <f t="shared" si="159"/>
        <v>#N/A</v>
      </c>
      <c r="D270" s="77">
        <f t="shared" si="160"/>
        <v>0</v>
      </c>
      <c r="E270" s="39">
        <v>0</v>
      </c>
      <c r="F270" s="39">
        <v>0</v>
      </c>
      <c r="G270" s="39">
        <v>0</v>
      </c>
      <c r="H270" s="39">
        <v>0</v>
      </c>
      <c r="I270" s="108">
        <v>1</v>
      </c>
      <c r="J270" s="37" t="e">
        <f t="shared" si="161"/>
        <v>#N/A</v>
      </c>
      <c r="K270" s="77">
        <f t="shared" si="162"/>
        <v>0</v>
      </c>
      <c r="L270" s="39">
        <v>0</v>
      </c>
      <c r="M270" s="39">
        <v>0</v>
      </c>
      <c r="N270" s="39">
        <v>0</v>
      </c>
      <c r="O270" s="40">
        <v>0</v>
      </c>
      <c r="Q270" s="99" t="str">
        <f t="shared" si="163"/>
        <v>N/A</v>
      </c>
      <c r="R270" s="159" t="e">
        <f t="shared" si="164"/>
        <v>#N/A</v>
      </c>
      <c r="S270" s="159" t="e">
        <f t="shared" si="165"/>
        <v>#N/A</v>
      </c>
      <c r="T270" s="95" t="e">
        <f t="shared" si="166"/>
        <v>#N/A</v>
      </c>
      <c r="U270" s="95">
        <f t="shared" si="167"/>
        <v>0.05</v>
      </c>
    </row>
    <row r="271" spans="1:21" ht="15" x14ac:dyDescent="0.25">
      <c r="A271" s="41" t="str">
        <f t="shared" si="158"/>
        <v>N/A</v>
      </c>
      <c r="B271" s="108">
        <v>1</v>
      </c>
      <c r="C271" s="37" t="e">
        <f t="shared" si="159"/>
        <v>#N/A</v>
      </c>
      <c r="D271" s="77">
        <f t="shared" si="160"/>
        <v>0</v>
      </c>
      <c r="E271" s="39">
        <v>0</v>
      </c>
      <c r="F271" s="39">
        <v>0</v>
      </c>
      <c r="G271" s="39">
        <v>0</v>
      </c>
      <c r="H271" s="39">
        <v>0</v>
      </c>
      <c r="I271" s="108">
        <v>1</v>
      </c>
      <c r="J271" s="37" t="e">
        <f t="shared" si="161"/>
        <v>#N/A</v>
      </c>
      <c r="K271" s="77">
        <f t="shared" si="162"/>
        <v>0</v>
      </c>
      <c r="L271" s="39">
        <v>0</v>
      </c>
      <c r="M271" s="39">
        <v>0</v>
      </c>
      <c r="N271" s="39">
        <v>0</v>
      </c>
      <c r="O271" s="40">
        <v>0</v>
      </c>
      <c r="Q271" s="99" t="str">
        <f t="shared" si="163"/>
        <v>N/A</v>
      </c>
      <c r="R271" s="159" t="e">
        <f t="shared" si="164"/>
        <v>#N/A</v>
      </c>
      <c r="S271" s="159" t="e">
        <f t="shared" si="165"/>
        <v>#N/A</v>
      </c>
      <c r="T271" s="95" t="e">
        <f t="shared" si="166"/>
        <v>#N/A</v>
      </c>
      <c r="U271" s="95">
        <f t="shared" si="167"/>
        <v>0.05</v>
      </c>
    </row>
    <row r="272" spans="1:21" ht="15" x14ac:dyDescent="0.25">
      <c r="A272" s="41" t="str">
        <f t="shared" si="158"/>
        <v>N/A</v>
      </c>
      <c r="B272" s="108">
        <v>1</v>
      </c>
      <c r="C272" s="37" t="e">
        <f t="shared" si="159"/>
        <v>#N/A</v>
      </c>
      <c r="D272" s="77">
        <f t="shared" si="160"/>
        <v>0</v>
      </c>
      <c r="E272" s="39">
        <v>0</v>
      </c>
      <c r="F272" s="39">
        <v>0</v>
      </c>
      <c r="G272" s="39">
        <v>0</v>
      </c>
      <c r="H272" s="39">
        <v>0</v>
      </c>
      <c r="I272" s="108">
        <v>1</v>
      </c>
      <c r="J272" s="37" t="e">
        <f t="shared" si="161"/>
        <v>#N/A</v>
      </c>
      <c r="K272" s="77">
        <f t="shared" si="162"/>
        <v>0</v>
      </c>
      <c r="L272" s="39">
        <v>0</v>
      </c>
      <c r="M272" s="39">
        <v>0</v>
      </c>
      <c r="N272" s="39">
        <v>0</v>
      </c>
      <c r="O272" s="40">
        <v>0</v>
      </c>
      <c r="Q272" s="99" t="str">
        <f t="shared" si="163"/>
        <v>N/A</v>
      </c>
      <c r="R272" s="159" t="e">
        <f t="shared" si="164"/>
        <v>#N/A</v>
      </c>
      <c r="S272" s="159" t="e">
        <f t="shared" si="165"/>
        <v>#N/A</v>
      </c>
      <c r="T272" s="95" t="e">
        <f t="shared" si="166"/>
        <v>#N/A</v>
      </c>
      <c r="U272" s="95">
        <f t="shared" si="167"/>
        <v>0.05</v>
      </c>
    </row>
    <row r="273" spans="1:21" ht="15" x14ac:dyDescent="0.25">
      <c r="A273" s="41" t="str">
        <f t="shared" si="158"/>
        <v>N/A</v>
      </c>
      <c r="B273" s="108">
        <v>1</v>
      </c>
      <c r="C273" s="37" t="e">
        <f t="shared" si="159"/>
        <v>#N/A</v>
      </c>
      <c r="D273" s="77">
        <f t="shared" si="160"/>
        <v>0</v>
      </c>
      <c r="E273" s="39">
        <v>0</v>
      </c>
      <c r="F273" s="39">
        <v>0</v>
      </c>
      <c r="G273" s="39">
        <v>0</v>
      </c>
      <c r="H273" s="39">
        <v>0</v>
      </c>
      <c r="I273" s="108">
        <v>1</v>
      </c>
      <c r="J273" s="37" t="e">
        <f t="shared" si="161"/>
        <v>#N/A</v>
      </c>
      <c r="K273" s="77">
        <f t="shared" si="162"/>
        <v>0</v>
      </c>
      <c r="L273" s="39">
        <v>0</v>
      </c>
      <c r="M273" s="39">
        <v>0</v>
      </c>
      <c r="N273" s="39">
        <v>0</v>
      </c>
      <c r="O273" s="40">
        <v>0</v>
      </c>
      <c r="Q273" s="99" t="str">
        <f t="shared" si="163"/>
        <v>N/A</v>
      </c>
      <c r="R273" s="159" t="e">
        <f t="shared" si="164"/>
        <v>#N/A</v>
      </c>
      <c r="S273" s="159" t="e">
        <f t="shared" si="165"/>
        <v>#N/A</v>
      </c>
      <c r="T273" s="95" t="e">
        <f t="shared" si="166"/>
        <v>#N/A</v>
      </c>
      <c r="U273" s="95">
        <f t="shared" si="167"/>
        <v>0.05</v>
      </c>
    </row>
    <row r="274" spans="1:21" ht="15" x14ac:dyDescent="0.25">
      <c r="A274" s="41" t="str">
        <f t="shared" si="158"/>
        <v>N/A</v>
      </c>
      <c r="B274" s="108">
        <v>1</v>
      </c>
      <c r="C274" s="37" t="e">
        <f t="shared" si="159"/>
        <v>#N/A</v>
      </c>
      <c r="D274" s="77">
        <f t="shared" si="160"/>
        <v>0</v>
      </c>
      <c r="E274" s="39">
        <v>0</v>
      </c>
      <c r="F274" s="39">
        <v>0</v>
      </c>
      <c r="G274" s="39">
        <v>0</v>
      </c>
      <c r="H274" s="39">
        <v>0</v>
      </c>
      <c r="I274" s="108">
        <v>1</v>
      </c>
      <c r="J274" s="37" t="e">
        <f t="shared" si="161"/>
        <v>#N/A</v>
      </c>
      <c r="K274" s="77">
        <f t="shared" si="162"/>
        <v>0</v>
      </c>
      <c r="L274" s="39">
        <v>0</v>
      </c>
      <c r="M274" s="39">
        <v>0</v>
      </c>
      <c r="N274" s="39">
        <v>0</v>
      </c>
      <c r="O274" s="40">
        <v>0</v>
      </c>
      <c r="Q274" s="99" t="str">
        <f t="shared" si="163"/>
        <v>N/A</v>
      </c>
      <c r="R274" s="159" t="e">
        <f t="shared" si="164"/>
        <v>#N/A</v>
      </c>
      <c r="S274" s="159" t="e">
        <f t="shared" si="165"/>
        <v>#N/A</v>
      </c>
      <c r="T274" s="95" t="e">
        <f t="shared" si="166"/>
        <v>#N/A</v>
      </c>
      <c r="U274" s="95">
        <f t="shared" si="167"/>
        <v>0.05</v>
      </c>
    </row>
    <row r="275" spans="1:21" ht="15" x14ac:dyDescent="0.25">
      <c r="A275" s="41" t="str">
        <f t="shared" si="158"/>
        <v>N/A</v>
      </c>
      <c r="B275" s="108">
        <v>1</v>
      </c>
      <c r="C275" s="37" t="e">
        <f t="shared" si="159"/>
        <v>#N/A</v>
      </c>
      <c r="D275" s="77">
        <f t="shared" si="160"/>
        <v>0</v>
      </c>
      <c r="E275" s="39">
        <v>0</v>
      </c>
      <c r="F275" s="39">
        <v>0</v>
      </c>
      <c r="G275" s="39">
        <v>0</v>
      </c>
      <c r="H275" s="39">
        <v>0</v>
      </c>
      <c r="I275" s="108">
        <v>1</v>
      </c>
      <c r="J275" s="37" t="e">
        <f t="shared" si="161"/>
        <v>#N/A</v>
      </c>
      <c r="K275" s="77">
        <f t="shared" si="162"/>
        <v>0</v>
      </c>
      <c r="L275" s="39">
        <v>0</v>
      </c>
      <c r="M275" s="39">
        <v>0</v>
      </c>
      <c r="N275" s="39">
        <v>0</v>
      </c>
      <c r="O275" s="40">
        <v>0</v>
      </c>
      <c r="Q275" s="99" t="str">
        <f t="shared" si="163"/>
        <v>N/A</v>
      </c>
      <c r="R275" s="159" t="e">
        <f t="shared" si="164"/>
        <v>#N/A</v>
      </c>
      <c r="S275" s="159" t="e">
        <f t="shared" si="165"/>
        <v>#N/A</v>
      </c>
      <c r="T275" s="95" t="e">
        <f t="shared" si="166"/>
        <v>#N/A</v>
      </c>
      <c r="U275" s="95">
        <f t="shared" si="167"/>
        <v>0.05</v>
      </c>
    </row>
    <row r="276" spans="1:21" ht="15" x14ac:dyDescent="0.25">
      <c r="A276" s="41" t="str">
        <f t="shared" si="158"/>
        <v>N/A</v>
      </c>
      <c r="B276" s="108">
        <v>1</v>
      </c>
      <c r="C276" s="37" t="e">
        <f t="shared" si="159"/>
        <v>#N/A</v>
      </c>
      <c r="D276" s="77">
        <f t="shared" si="160"/>
        <v>0</v>
      </c>
      <c r="E276" s="39">
        <v>0</v>
      </c>
      <c r="F276" s="39">
        <v>0</v>
      </c>
      <c r="G276" s="39">
        <v>0</v>
      </c>
      <c r="H276" s="39">
        <v>0</v>
      </c>
      <c r="I276" s="108">
        <v>1</v>
      </c>
      <c r="J276" s="37" t="e">
        <f t="shared" si="161"/>
        <v>#N/A</v>
      </c>
      <c r="K276" s="77">
        <f t="shared" si="162"/>
        <v>0</v>
      </c>
      <c r="L276" s="39">
        <v>0</v>
      </c>
      <c r="M276" s="39">
        <v>0</v>
      </c>
      <c r="N276" s="39">
        <v>0</v>
      </c>
      <c r="O276" s="40">
        <v>0</v>
      </c>
      <c r="Q276" s="99" t="str">
        <f t="shared" si="163"/>
        <v>N/A</v>
      </c>
      <c r="R276" s="159" t="e">
        <f t="shared" si="164"/>
        <v>#N/A</v>
      </c>
      <c r="S276" s="159" t="e">
        <f t="shared" si="165"/>
        <v>#N/A</v>
      </c>
      <c r="T276" s="95" t="e">
        <f t="shared" si="166"/>
        <v>#N/A</v>
      </c>
      <c r="U276" s="95">
        <f t="shared" si="167"/>
        <v>0.05</v>
      </c>
    </row>
    <row r="277" spans="1:21" ht="15.75" thickBot="1" x14ac:dyDescent="0.3">
      <c r="A277" s="42" t="str">
        <f t="shared" si="158"/>
        <v>N/A</v>
      </c>
      <c r="B277" s="114">
        <v>1</v>
      </c>
      <c r="C277" s="109" t="e">
        <f t="shared" si="159"/>
        <v>#N/A</v>
      </c>
      <c r="D277" s="23">
        <f t="shared" si="160"/>
        <v>0</v>
      </c>
      <c r="E277" s="112">
        <v>0</v>
      </c>
      <c r="F277" s="112">
        <v>0</v>
      </c>
      <c r="G277" s="112">
        <v>0</v>
      </c>
      <c r="H277" s="112">
        <v>0</v>
      </c>
      <c r="I277" s="114">
        <v>1</v>
      </c>
      <c r="J277" s="109" t="e">
        <f t="shared" si="161"/>
        <v>#N/A</v>
      </c>
      <c r="K277" s="23">
        <f t="shared" si="162"/>
        <v>0</v>
      </c>
      <c r="L277" s="112">
        <v>0</v>
      </c>
      <c r="M277" s="112">
        <v>0</v>
      </c>
      <c r="N277" s="112">
        <v>0</v>
      </c>
      <c r="O277" s="113">
        <v>0</v>
      </c>
      <c r="Q277" s="99" t="str">
        <f t="shared" si="163"/>
        <v>N/A</v>
      </c>
      <c r="R277" s="159" t="e">
        <f t="shared" si="164"/>
        <v>#N/A</v>
      </c>
      <c r="S277" s="159" t="e">
        <f t="shared" si="165"/>
        <v>#N/A</v>
      </c>
      <c r="T277" s="95" t="e">
        <f t="shared" si="166"/>
        <v>#N/A</v>
      </c>
      <c r="U277" s="95">
        <f t="shared" si="167"/>
        <v>0.05</v>
      </c>
    </row>
    <row r="280" spans="1:21" ht="15.75" x14ac:dyDescent="0.25">
      <c r="B280" s="15" t="s">
        <v>114</v>
      </c>
      <c r="C280" s="15" t="s">
        <v>117</v>
      </c>
      <c r="D280" s="15" t="s">
        <v>118</v>
      </c>
      <c r="E280" s="15" t="s">
        <v>115</v>
      </c>
      <c r="F280" s="88" t="s">
        <v>116</v>
      </c>
      <c r="G280" s="15" t="s">
        <v>58</v>
      </c>
    </row>
    <row r="281" spans="1:21" x14ac:dyDescent="0.2">
      <c r="B281" s="3">
        <v>7.6</v>
      </c>
      <c r="C281" s="3">
        <v>2.1059999999999999</v>
      </c>
      <c r="D281" s="3">
        <v>3.77</v>
      </c>
      <c r="E281" s="3">
        <f>B281-(C281/2)-(D281/2)</f>
        <v>4.6619999999999999</v>
      </c>
      <c r="F281" s="87">
        <v>0.375</v>
      </c>
      <c r="G281" s="3">
        <f>0.71/E281</f>
        <v>0.15229515229515228</v>
      </c>
    </row>
    <row r="282" spans="1:21" x14ac:dyDescent="0.2">
      <c r="F282" s="87">
        <v>0.5</v>
      </c>
      <c r="G282" s="3">
        <f>1.27/E281</f>
        <v>0.27241527241527241</v>
      </c>
    </row>
  </sheetData>
  <mergeCells count="23">
    <mergeCell ref="K1:L2"/>
    <mergeCell ref="M1:N2"/>
    <mergeCell ref="A211:O211"/>
    <mergeCell ref="A234:O234"/>
    <mergeCell ref="Q141:U141"/>
    <mergeCell ref="Q233:U233"/>
    <mergeCell ref="A11:AB11"/>
    <mergeCell ref="A32:AB32"/>
    <mergeCell ref="A116:AB116"/>
    <mergeCell ref="A53:AB53"/>
    <mergeCell ref="A74:AB74"/>
    <mergeCell ref="Q210:U210"/>
    <mergeCell ref="A257:O257"/>
    <mergeCell ref="A142:O142"/>
    <mergeCell ref="I140:O140"/>
    <mergeCell ref="B140:H140"/>
    <mergeCell ref="A140:A141"/>
    <mergeCell ref="A188:O188"/>
    <mergeCell ref="A95:AB95"/>
    <mergeCell ref="Q164:U164"/>
    <mergeCell ref="Q187:U187"/>
    <mergeCell ref="Q256:U256"/>
    <mergeCell ref="A165:O165"/>
  </mergeCells>
  <pageMargins left="0.34" right="0.28999999999999998" top="1" bottom="1" header="0.5" footer="0.5"/>
  <pageSetup orientation="portrait" horizontalDpi="4294967295" verticalDpi="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EF5F-6B8D-44D2-9474-5E768D531B77}">
  <sheetPr codeName="Hoja6"/>
  <dimension ref="A1:AA59"/>
  <sheetViews>
    <sheetView topLeftCell="A13" zoomScaleNormal="100" workbookViewId="0">
      <selection activeCell="B20" sqref="B20"/>
    </sheetView>
  </sheetViews>
  <sheetFormatPr defaultColWidth="11.42578125" defaultRowHeight="13.5" x14ac:dyDescent="0.25"/>
  <cols>
    <col min="1" max="1" width="14.5703125" style="1" bestFit="1" customWidth="1"/>
    <col min="2" max="2" width="9" style="1" bestFit="1" customWidth="1"/>
    <col min="3" max="3" width="8.42578125" style="1" bestFit="1" customWidth="1"/>
    <col min="4" max="4" width="9" style="1" bestFit="1" customWidth="1"/>
    <col min="5" max="5" width="8.28515625" style="1" hidden="1" customWidth="1"/>
    <col min="6" max="6" width="10.28515625" style="1" bestFit="1" customWidth="1"/>
    <col min="7" max="7" width="8.28515625" style="1" bestFit="1" customWidth="1"/>
    <col min="8" max="8" width="9" style="1" bestFit="1" customWidth="1"/>
    <col min="9" max="9" width="9.28515625" style="1" customWidth="1"/>
    <col min="10" max="11" width="9" style="1" bestFit="1" customWidth="1"/>
    <col min="12" max="12" width="3.7109375" style="1" customWidth="1"/>
    <col min="13" max="13" width="7.42578125" style="1" bestFit="1" customWidth="1"/>
    <col min="14" max="16" width="4.140625" style="1" bestFit="1" customWidth="1"/>
    <col min="17" max="18" width="11.42578125" style="1" customWidth="1"/>
    <col min="19" max="19" width="11.42578125" style="1" hidden="1" customWidth="1"/>
    <col min="20" max="23" width="11.42578125" style="1" customWidth="1"/>
    <col min="24" max="27" width="11.42578125" style="1" hidden="1" customWidth="1"/>
    <col min="28" max="16384" width="11.42578125" style="1"/>
  </cols>
  <sheetData>
    <row r="1" spans="1:27" ht="14.25" thickBot="1" x14ac:dyDescent="0.3">
      <c r="S1" t="str">
        <f t="array" aca="1" ref="S1" ca="1">_xlfn.TEXTAFTER(CELL("filename",J2),"]")</f>
        <v>Carga EARLLETTE</v>
      </c>
    </row>
    <row r="2" spans="1:27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Earlette'!G2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EARLLETTE</v>
      </c>
      <c r="X2" s="1" t="str">
        <f t="array" ref="X2:AA2" ca="1">+_xlfn.TEXTAFTER('Espesor Earlette'!F4:I4,"Espesor")</f>
        <v xml:space="preserve"> de Losas  Earlette</v>
      </c>
      <c r="Y2" s="1" t="e">
        <v>#N/A</v>
      </c>
      <c r="Z2" s="1" t="e">
        <v>#N/A</v>
      </c>
      <c r="AA2" s="1" t="e">
        <v>#N/A</v>
      </c>
    </row>
    <row r="3" spans="1:27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Earlette'!J3:J4</f>
        <v>2</v>
      </c>
      <c r="L3" s="93"/>
    </row>
    <row r="4" spans="1:27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>Carga de Losas  EARLLETTE</v>
      </c>
      <c r="H4" s="224"/>
      <c r="I4" s="224"/>
      <c r="J4" s="225"/>
      <c r="K4" s="203"/>
      <c r="L4" s="93"/>
    </row>
    <row r="5" spans="1:27" x14ac:dyDescent="0.25">
      <c r="A5" s="61"/>
      <c r="F5" s="61"/>
      <c r="G5" s="61"/>
      <c r="H5" s="61"/>
      <c r="I5" s="61"/>
      <c r="J5" s="61"/>
      <c r="K5" s="61"/>
      <c r="L5" s="61"/>
    </row>
    <row r="6" spans="1:27" x14ac:dyDescent="0.25">
      <c r="A6" s="19" t="s">
        <v>53</v>
      </c>
      <c r="B6" s="62">
        <f>COUNT(A9:A58)</f>
        <v>50</v>
      </c>
      <c r="C6" s="19" t="s">
        <v>42</v>
      </c>
      <c r="D6" s="1">
        <f>'Espesor Earlette'!D6</f>
        <v>4200</v>
      </c>
      <c r="E6" s="63">
        <f>'Espesor Earlette'!D6</f>
        <v>4200</v>
      </c>
      <c r="F6" s="61" t="s">
        <v>103</v>
      </c>
      <c r="I6" s="61"/>
      <c r="J6" s="61"/>
      <c r="K6" s="61"/>
      <c r="L6" s="61"/>
      <c r="M6" s="230" t="s">
        <v>119</v>
      </c>
      <c r="N6" s="230"/>
      <c r="O6" s="230"/>
      <c r="P6" s="230"/>
    </row>
    <row r="7" spans="1:27" ht="14.25" thickBot="1" x14ac:dyDescent="0.3"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L7" s="61"/>
      <c r="M7" s="230"/>
      <c r="N7" s="230"/>
      <c r="O7" s="230"/>
      <c r="P7" s="230"/>
    </row>
    <row r="8" spans="1:27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104</v>
      </c>
      <c r="G8" s="66" t="s">
        <v>56</v>
      </c>
      <c r="H8" s="66" t="s">
        <v>105</v>
      </c>
      <c r="I8" s="66" t="s">
        <v>106</v>
      </c>
      <c r="J8" s="67" t="s">
        <v>107</v>
      </c>
      <c r="K8" s="68" t="s">
        <v>108</v>
      </c>
      <c r="L8" s="94"/>
      <c r="M8" s="91" t="s">
        <v>120</v>
      </c>
      <c r="N8" s="85">
        <v>20</v>
      </c>
      <c r="O8" s="85">
        <v>15</v>
      </c>
      <c r="P8" s="85">
        <v>10</v>
      </c>
    </row>
    <row r="9" spans="1:27" x14ac:dyDescent="0.25">
      <c r="A9" s="69">
        <f>'Espesor Earlette'!A9</f>
        <v>1</v>
      </c>
      <c r="B9" s="70">
        <f>'Espesor Earlette'!B9</f>
        <v>6.45</v>
      </c>
      <c r="C9" s="70">
        <f>'Espesor Earlette'!C9</f>
        <v>5.4</v>
      </c>
      <c r="D9" s="70">
        <f>'Espesor Earlette'!J9</f>
        <v>0.15</v>
      </c>
      <c r="E9" s="70">
        <f>CEILING(IF(TYPE(VLOOKUP(A9,'Espesor Equivalente'!$A$12:$S$31,19,FALSE))=16,D9,VLOOKUP(A9,'Espesor Equivalente'!$A$12:$S$31,19,FALSE)),0.01)</f>
        <v>0.15</v>
      </c>
      <c r="F9" s="20">
        <f>B9*C9</f>
        <v>34.830000000000005</v>
      </c>
      <c r="G9" s="80">
        <f>1.8*IF(M9=0,2.8-D9,M9-D9)*(0.2*N9+0.15*O9+0.1*P9)</f>
        <v>1.27359</v>
      </c>
      <c r="H9" s="20">
        <f>IF(G9=0,0,MAX(0.1,G9/F9))</f>
        <v>0.1</v>
      </c>
      <c r="I9" s="20">
        <f>VLOOKUP(E9,Cargas!$D$8:$G$23,4,TRUE)+H9</f>
        <v>0.6409999999999999</v>
      </c>
      <c r="J9" s="75">
        <f t="shared" ref="J9:J58" si="0">qle</f>
        <v>0.2</v>
      </c>
      <c r="K9" s="71">
        <f>$I$7*I9+$J$7*J9</f>
        <v>1.0891999999999999</v>
      </c>
      <c r="L9" s="71"/>
      <c r="M9" s="71"/>
      <c r="O9" s="1">
        <v>1.78</v>
      </c>
    </row>
    <row r="10" spans="1:27" x14ac:dyDescent="0.25">
      <c r="A10" s="69">
        <f>'Espesor Earlette'!A10</f>
        <v>2</v>
      </c>
      <c r="B10" s="70">
        <f>'Espesor Earlette'!B10</f>
        <v>4.9000000000000004</v>
      </c>
      <c r="C10" s="70">
        <f>'Espesor Earlette'!C10</f>
        <v>4.45</v>
      </c>
      <c r="D10" s="70">
        <f>'Espesor Earlette'!J10</f>
        <v>0.12</v>
      </c>
      <c r="E10" s="70">
        <f>CEILING(IF(TYPE(VLOOKUP(A10,'Espesor Equivalente'!$A$12:$S$31,19,FALSE))=16,D10,VLOOKUP(A10,'Espesor Equivalente'!$A$12:$S$31,19,FALSE)),0.01)</f>
        <v>0.12</v>
      </c>
      <c r="F10" s="20">
        <f t="shared" ref="F10:F58" si="1">B10*C10</f>
        <v>21.805000000000003</v>
      </c>
      <c r="G10" s="80">
        <f t="shared" ref="G10:G58" si="2">1.8*IF(M10=0,2.8-D10,M10-D10)*(0.2*N10+0.15*O10+0.1*P10)</f>
        <v>5.5500119999999988</v>
      </c>
      <c r="H10" s="20">
        <f t="shared" ref="H10:H58" si="3">IF(G10=0,0,MAX(0.1,G10/F10))</f>
        <v>0.25452932813574858</v>
      </c>
      <c r="I10" s="20">
        <f>VLOOKUP(E10,Cargas!$D$8:$G$23,4,TRUE)+H10</f>
        <v>0.72352932813574855</v>
      </c>
      <c r="J10" s="75">
        <f t="shared" si="0"/>
        <v>0.2</v>
      </c>
      <c r="K10" s="71">
        <f t="shared" ref="K10:K58" si="4">$I$7*I10+$J$7*J10</f>
        <v>1.1882351937628983</v>
      </c>
      <c r="L10" s="71"/>
      <c r="M10" s="71"/>
      <c r="O10" s="1">
        <f>1.76+1.41+4.5</f>
        <v>7.67</v>
      </c>
    </row>
    <row r="11" spans="1:27" x14ac:dyDescent="0.25">
      <c r="A11" s="69">
        <f>'Espesor Earlette'!A11</f>
        <v>3</v>
      </c>
      <c r="B11" s="70">
        <f>'Espesor Earlette'!B11</f>
        <v>4.9000000000000004</v>
      </c>
      <c r="C11" s="70">
        <f>'Espesor Earlette'!C11</f>
        <v>4.4000000000000004</v>
      </c>
      <c r="D11" s="70">
        <f>'Espesor Earlette'!J11</f>
        <v>0.12</v>
      </c>
      <c r="E11" s="70">
        <f>CEILING(IF(TYPE(VLOOKUP(A11,'Espesor Equivalente'!$A$12:$S$31,19,FALSE))=16,D11,VLOOKUP(A11,'Espesor Equivalente'!$A$12:$S$31,19,FALSE)),0.01)</f>
        <v>0.12</v>
      </c>
      <c r="F11" s="20">
        <f t="shared" si="1"/>
        <v>21.560000000000002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0.2</v>
      </c>
      <c r="K11" s="71">
        <f t="shared" si="4"/>
        <v>0.88280000000000003</v>
      </c>
      <c r="L11" s="71"/>
      <c r="M11" s="71"/>
      <c r="Q11" s="72"/>
      <c r="R11" s="227"/>
      <c r="S11" s="227"/>
    </row>
    <row r="12" spans="1:27" x14ac:dyDescent="0.25">
      <c r="A12" s="69">
        <f>'Espesor Earlette'!A12</f>
        <v>4</v>
      </c>
      <c r="B12" s="70">
        <f>'Espesor Earlette'!B12</f>
        <v>3.8</v>
      </c>
      <c r="C12" s="70">
        <f>'Espesor Earlette'!C12</f>
        <v>1.5</v>
      </c>
      <c r="D12" s="70">
        <f>'Espesor Earlette'!J12</f>
        <v>0.12</v>
      </c>
      <c r="E12" s="70">
        <f>CEILING(IF(TYPE(VLOOKUP(A12,'Espesor Equivalente'!$A$12:$S$31,19,FALSE))=16,D12,VLOOKUP(A12,'Espesor Equivalente'!$A$12:$S$31,19,FALSE)),0.01)</f>
        <v>0.12</v>
      </c>
      <c r="F12" s="20">
        <f t="shared" si="1"/>
        <v>5.6999999999999993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0.2</v>
      </c>
      <c r="K12" s="71">
        <f t="shared" si="4"/>
        <v>0.88280000000000003</v>
      </c>
      <c r="L12" s="71"/>
      <c r="M12" s="71"/>
      <c r="O12" s="73"/>
      <c r="P12" s="73"/>
      <c r="Q12" s="73"/>
      <c r="R12" s="73"/>
      <c r="S12" s="73"/>
    </row>
    <row r="13" spans="1:27" x14ac:dyDescent="0.25">
      <c r="A13" s="69">
        <f>'Espesor Earlette'!A13</f>
        <v>5</v>
      </c>
      <c r="B13" s="70">
        <f>'Espesor Earlette'!B13</f>
        <v>1.2</v>
      </c>
      <c r="C13" s="70">
        <f>'Espesor Earlette'!C13</f>
        <v>4.6500000000000004</v>
      </c>
      <c r="D13" s="70">
        <f>'Espesor Earlette'!J13</f>
        <v>0.12</v>
      </c>
      <c r="E13" s="70">
        <f>CEILING(IF(TYPE(VLOOKUP(A13,'Espesor Equivalente'!$A$12:$S$31,19,FALSE))=16,D13,VLOOKUP(A13,'Espesor Equivalente'!$A$12:$S$31,19,FALSE)),0.01)</f>
        <v>0.12</v>
      </c>
      <c r="F13" s="20">
        <f t="shared" si="1"/>
        <v>5.58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0.2</v>
      </c>
      <c r="K13" s="71">
        <f t="shared" si="4"/>
        <v>0.88280000000000003</v>
      </c>
      <c r="L13" s="71"/>
      <c r="M13" s="71"/>
      <c r="O13" s="73"/>
      <c r="P13" s="72"/>
      <c r="Q13" s="72"/>
      <c r="R13" s="74"/>
    </row>
    <row r="14" spans="1:27" x14ac:dyDescent="0.25">
      <c r="A14" s="69">
        <f>'Espesor Earlette'!A14</f>
        <v>6</v>
      </c>
      <c r="B14" s="70">
        <f>'Espesor Earlette'!B14</f>
        <v>7.95</v>
      </c>
      <c r="C14" s="70">
        <f>'Espesor Earlette'!C14</f>
        <v>7</v>
      </c>
      <c r="D14" s="70">
        <f>'Espesor Earlette'!J14</f>
        <v>0.2</v>
      </c>
      <c r="E14" s="70">
        <f>CEILING(IF(TYPE(VLOOKUP(A14,'Espesor Equivalente'!$A$12:$S$31,19,FALSE))=16,D14,VLOOKUP(A14,'Espesor Equivalente'!$A$12:$S$31,19,FALSE)),0.01)</f>
        <v>0.12</v>
      </c>
      <c r="F14" s="20">
        <f t="shared" si="1"/>
        <v>55.65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0.2</v>
      </c>
      <c r="K14" s="71">
        <f t="shared" si="4"/>
        <v>0.88280000000000003</v>
      </c>
      <c r="L14" s="71"/>
      <c r="M14" s="71"/>
      <c r="O14" s="70"/>
      <c r="P14" s="72"/>
      <c r="Q14" s="72"/>
      <c r="R14" s="74"/>
    </row>
    <row r="15" spans="1:27" x14ac:dyDescent="0.25">
      <c r="A15" s="69">
        <f>'Espesor Earlette'!A15</f>
        <v>7</v>
      </c>
      <c r="B15" s="70">
        <f>'Espesor Earlette'!B15</f>
        <v>5.55</v>
      </c>
      <c r="C15" s="70">
        <f>'Espesor Earlette'!C15</f>
        <v>7</v>
      </c>
      <c r="D15" s="70">
        <f>'Espesor Earlette'!J15</f>
        <v>0.16</v>
      </c>
      <c r="E15" s="70">
        <f>CEILING(IF(TYPE(VLOOKUP(A15,'Espesor Equivalente'!$A$12:$S$31,19,FALSE))=16,D15,VLOOKUP(A15,'Espesor Equivalente'!$A$12:$S$31,19,FALSE)),0.01)</f>
        <v>0.11</v>
      </c>
      <c r="F15" s="20">
        <f t="shared" si="1"/>
        <v>38.85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0.44500000000000001</v>
      </c>
      <c r="J15" s="75">
        <f t="shared" si="0"/>
        <v>0.2</v>
      </c>
      <c r="K15" s="71">
        <f t="shared" si="4"/>
        <v>0.85400000000000009</v>
      </c>
      <c r="L15" s="71"/>
      <c r="M15" s="71"/>
      <c r="O15" s="73"/>
      <c r="P15" s="72"/>
      <c r="Q15" s="72"/>
      <c r="R15" s="74"/>
    </row>
    <row r="16" spans="1:27" x14ac:dyDescent="0.25">
      <c r="A16" s="69">
        <f>'Espesor Earlette'!A16</f>
        <v>8</v>
      </c>
      <c r="B16" s="70">
        <f>'Espesor Earlette'!B16</f>
        <v>1.7</v>
      </c>
      <c r="C16" s="70">
        <f>'Espesor Earlette'!C16</f>
        <v>2</v>
      </c>
      <c r="D16" s="70">
        <f>'Espesor Earlette'!J16</f>
        <v>0.12</v>
      </c>
      <c r="E16" s="70">
        <f>CEILING(IF(TYPE(VLOOKUP(A16,'Espesor Equivalente'!$A$12:$S$31,19,FALSE))=16,D16,VLOOKUP(A16,'Espesor Equivalente'!$A$12:$S$31,19,FALSE)),0.01)</f>
        <v>0.12</v>
      </c>
      <c r="F16" s="20">
        <f t="shared" si="1"/>
        <v>3.4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0.2</v>
      </c>
      <c r="K16" s="71">
        <f t="shared" si="4"/>
        <v>0.88280000000000003</v>
      </c>
      <c r="L16" s="71"/>
      <c r="M16" s="71"/>
      <c r="O16" s="70"/>
      <c r="P16" s="72"/>
      <c r="Q16" s="72"/>
      <c r="R16" s="74"/>
    </row>
    <row r="17" spans="1:18" x14ac:dyDescent="0.25">
      <c r="A17" s="69">
        <f>'Espesor Earlette'!A17</f>
        <v>9</v>
      </c>
      <c r="B17" s="70">
        <f>'Espesor Earlette'!B17</f>
        <v>2.5</v>
      </c>
      <c r="C17" s="70">
        <f>'Espesor Earlette'!C17</f>
        <v>2</v>
      </c>
      <c r="D17" s="70">
        <f>'Espesor Earlette'!J17</f>
        <v>0.12</v>
      </c>
      <c r="E17" s="70">
        <f>CEILING(IF(TYPE(VLOOKUP(A17,'Espesor Equivalente'!$A$12:$S$31,19,FALSE))=16,D17,VLOOKUP(A17,'Espesor Equivalente'!$A$12:$S$31,19,FALSE)),0.01)</f>
        <v>0.12</v>
      </c>
      <c r="F17" s="20">
        <f t="shared" si="1"/>
        <v>5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0.2</v>
      </c>
      <c r="K17" s="71">
        <f t="shared" si="4"/>
        <v>0.88280000000000003</v>
      </c>
      <c r="L17" s="71"/>
      <c r="M17" s="71"/>
      <c r="O17" s="70"/>
      <c r="P17" s="72"/>
      <c r="Q17" s="72"/>
      <c r="R17" s="74"/>
    </row>
    <row r="18" spans="1:18" x14ac:dyDescent="0.25">
      <c r="A18" s="69">
        <f>'Espesor Earlette'!A18</f>
        <v>10</v>
      </c>
      <c r="B18" s="70">
        <f>'Espesor Earlette'!B18</f>
        <v>3.6</v>
      </c>
      <c r="C18" s="70">
        <f>'Espesor Earlette'!C18</f>
        <v>1.7</v>
      </c>
      <c r="D18" s="70">
        <f>'Espesor Earlette'!J18</f>
        <v>0.12</v>
      </c>
      <c r="E18" s="70">
        <f>CEILING(IF(TYPE(VLOOKUP(A18,'Espesor Equivalente'!$A$12:$S$31,19,FALSE))=16,D18,VLOOKUP(A18,'Espesor Equivalente'!$A$12:$S$31,19,FALSE)),0.01)</f>
        <v>0.12</v>
      </c>
      <c r="F18" s="20">
        <f t="shared" si="1"/>
        <v>6.12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0.2</v>
      </c>
      <c r="K18" s="71">
        <f t="shared" si="4"/>
        <v>0.88280000000000003</v>
      </c>
      <c r="L18" s="71"/>
      <c r="M18" s="71"/>
      <c r="O18" s="70"/>
      <c r="P18" s="72"/>
      <c r="Q18" s="72"/>
      <c r="R18" s="74"/>
    </row>
    <row r="19" spans="1:18" x14ac:dyDescent="0.25">
      <c r="A19" s="69">
        <f>'Espesor Earlette'!A19</f>
        <v>11</v>
      </c>
      <c r="B19" s="70">
        <f>'Espesor Earlette'!B19</f>
        <v>1.2</v>
      </c>
      <c r="C19" s="70">
        <f>'Espesor Earlette'!C19</f>
        <v>4.5999999999999996</v>
      </c>
      <c r="D19" s="70">
        <f>'Espesor Earlette'!J19</f>
        <v>0.12</v>
      </c>
      <c r="E19" s="70">
        <f>CEILING(IF(TYPE(VLOOKUP(A19,'Espesor Equivalente'!$A$12:$S$31,19,FALSE))=16,D19,VLOOKUP(A19,'Espesor Equivalente'!$A$12:$S$31,19,FALSE)),0.01)</f>
        <v>0.12</v>
      </c>
      <c r="F19" s="20">
        <f t="shared" si="1"/>
        <v>5.52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0.2</v>
      </c>
      <c r="K19" s="71">
        <f t="shared" si="4"/>
        <v>0.88280000000000003</v>
      </c>
      <c r="L19" s="71"/>
      <c r="M19" s="71"/>
      <c r="O19" s="70"/>
      <c r="P19" s="72"/>
      <c r="Q19" s="72"/>
      <c r="R19" s="74"/>
    </row>
    <row r="20" spans="1:18" x14ac:dyDescent="0.25">
      <c r="A20" s="69">
        <f>'Espesor Earlette'!A20</f>
        <v>12</v>
      </c>
      <c r="B20" s="70">
        <f>'Espesor Earlette'!B20</f>
        <v>4.7</v>
      </c>
      <c r="C20" s="70">
        <f>'Espesor Earlette'!C20</f>
        <v>4.45</v>
      </c>
      <c r="D20" s="70">
        <f>'Espesor Earlette'!J20</f>
        <v>0.12</v>
      </c>
      <c r="E20" s="70">
        <f>CEILING(IF(TYPE(VLOOKUP(A20,'Espesor Equivalente'!$A$12:$S$31,19,FALSE))=16,D20,VLOOKUP(A20,'Espesor Equivalente'!$A$12:$S$31,19,FALSE)),0.01)</f>
        <v>0.12</v>
      </c>
      <c r="F20" s="20">
        <f t="shared" si="1"/>
        <v>20.915000000000003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0.2</v>
      </c>
      <c r="K20" s="71">
        <f t="shared" si="4"/>
        <v>0.88280000000000003</v>
      </c>
      <c r="L20" s="71"/>
      <c r="M20" s="71"/>
      <c r="O20" s="70"/>
      <c r="P20" s="72"/>
      <c r="Q20" s="72"/>
      <c r="R20" s="74"/>
    </row>
    <row r="21" spans="1:18" x14ac:dyDescent="0.25">
      <c r="A21" s="69">
        <f>'Espesor Earlette'!A21</f>
        <v>13</v>
      </c>
      <c r="B21" s="70">
        <f>'Espesor Earlette'!B21</f>
        <v>4.2</v>
      </c>
      <c r="C21" s="70">
        <f>'Espesor Earlette'!C21</f>
        <v>5</v>
      </c>
      <c r="D21" s="70">
        <f>'Espesor Earlette'!J21</f>
        <v>0.12</v>
      </c>
      <c r="E21" s="70">
        <f>CEILING(IF(TYPE(VLOOKUP(A21,'Espesor Equivalente'!$A$12:$S$31,19,FALSE))=16,D21,VLOOKUP(A21,'Espesor Equivalente'!$A$12:$S$31,19,FALSE)),0.01)</f>
        <v>0.12</v>
      </c>
      <c r="F21" s="20">
        <f t="shared" si="1"/>
        <v>21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0.2</v>
      </c>
      <c r="K21" s="71">
        <f t="shared" si="4"/>
        <v>0.88280000000000003</v>
      </c>
      <c r="L21" s="71"/>
      <c r="M21" s="71"/>
      <c r="O21" s="70"/>
      <c r="P21" s="72"/>
      <c r="Q21" s="72"/>
      <c r="R21" s="74"/>
    </row>
    <row r="22" spans="1:18" x14ac:dyDescent="0.25">
      <c r="A22" s="69">
        <f>'Espesor Earlette'!A22</f>
        <v>14</v>
      </c>
      <c r="B22" s="70">
        <f>'Espesor Earlette'!B22</f>
        <v>4.7</v>
      </c>
      <c r="C22" s="70">
        <f>'Espesor Earlette'!C22</f>
        <v>4.3</v>
      </c>
      <c r="D22" s="70">
        <f>'Espesor Earlette'!J22</f>
        <v>0.12</v>
      </c>
      <c r="E22" s="70">
        <f>CEILING(IF(TYPE(VLOOKUP(A22,'Espesor Equivalente'!$A$12:$S$31,19,FALSE))=16,D22,VLOOKUP(A22,'Espesor Equivalente'!$A$12:$S$31,19,FALSE)),0.01)</f>
        <v>0.12</v>
      </c>
      <c r="F22" s="20">
        <f t="shared" si="1"/>
        <v>20.21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0.2</v>
      </c>
      <c r="K22" s="71">
        <f t="shared" si="4"/>
        <v>0.88280000000000003</v>
      </c>
      <c r="L22" s="71"/>
      <c r="M22" s="71"/>
      <c r="O22" s="70"/>
      <c r="P22" s="72"/>
      <c r="Q22" s="72"/>
      <c r="R22" s="74"/>
    </row>
    <row r="23" spans="1:18" x14ac:dyDescent="0.25">
      <c r="A23" s="69">
        <f>'Espesor Earlette'!A23</f>
        <v>15</v>
      </c>
      <c r="B23" s="70">
        <f>'Espesor Earlette'!B23</f>
        <v>1.2</v>
      </c>
      <c r="C23" s="70">
        <f>'Espesor Earlette'!C23</f>
        <v>6</v>
      </c>
      <c r="D23" s="70">
        <f>'Espesor Earlette'!J23</f>
        <v>0.12</v>
      </c>
      <c r="E23" s="70">
        <f>CEILING(IF(TYPE(VLOOKUP(A23,'Espesor Equivalente'!$A$12:$S$31,19,FALSE))=16,D23,VLOOKUP(A23,'Espesor Equivalente'!$A$12:$S$31,19,FALSE)),0.01)</f>
        <v>0.12</v>
      </c>
      <c r="F23" s="20">
        <f t="shared" si="1"/>
        <v>7.1999999999999993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0.2</v>
      </c>
      <c r="K23" s="71">
        <f t="shared" si="4"/>
        <v>0.88280000000000003</v>
      </c>
      <c r="L23" s="71"/>
      <c r="M23" s="71"/>
      <c r="O23" s="70"/>
      <c r="P23" s="72"/>
      <c r="Q23" s="72"/>
      <c r="R23" s="74"/>
    </row>
    <row r="24" spans="1:18" x14ac:dyDescent="0.25">
      <c r="A24" s="69">
        <f>'Espesor Earlette'!A24</f>
        <v>16</v>
      </c>
      <c r="B24" s="70">
        <f>'Espesor Earlette'!B24</f>
        <v>4.7</v>
      </c>
      <c r="C24" s="70">
        <f>'Espesor Earlette'!C24</f>
        <v>4.8</v>
      </c>
      <c r="D24" s="70">
        <f>'Espesor Earlette'!J24</f>
        <v>0.12</v>
      </c>
      <c r="E24" s="70">
        <f>CEILING(IF(TYPE(VLOOKUP(A24,'Espesor Equivalente'!$A$12:$S$31,19,FALSE))=16,D24,VLOOKUP(A24,'Espesor Equivalente'!$A$12:$S$31,19,FALSE)),0.01)</f>
        <v>0.12</v>
      </c>
      <c r="F24" s="20">
        <f t="shared" si="1"/>
        <v>22.56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0.2</v>
      </c>
      <c r="K24" s="71">
        <f t="shared" si="4"/>
        <v>0.88280000000000003</v>
      </c>
      <c r="L24" s="71"/>
      <c r="M24" s="71"/>
      <c r="O24" s="70"/>
      <c r="P24" s="72"/>
      <c r="Q24" s="72"/>
      <c r="R24" s="74"/>
    </row>
    <row r="25" spans="1:18" x14ac:dyDescent="0.25">
      <c r="A25" s="69">
        <f>'Espesor Earlette'!A25</f>
        <v>17</v>
      </c>
      <c r="B25" s="70">
        <f>'Espesor Earlette'!B25</f>
        <v>3.4</v>
      </c>
      <c r="C25" s="70">
        <f>'Espesor Earlette'!C25</f>
        <v>2.5</v>
      </c>
      <c r="D25" s="70">
        <f>'Espesor Earlette'!J25</f>
        <v>0.12</v>
      </c>
      <c r="E25" s="70">
        <f>CEILING(IF(TYPE(VLOOKUP(A25,'Espesor Equivalente'!$A$12:$S$31,19,FALSE))=16,D25,VLOOKUP(A25,'Espesor Equivalente'!$A$12:$S$31,19,FALSE)),0.01)</f>
        <v>0.12</v>
      </c>
      <c r="F25" s="20">
        <f t="shared" si="1"/>
        <v>8.5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0.2</v>
      </c>
      <c r="K25" s="71">
        <f t="shared" si="4"/>
        <v>0.88280000000000003</v>
      </c>
      <c r="L25" s="71"/>
      <c r="M25" s="71"/>
      <c r="O25" s="70"/>
      <c r="P25" s="72"/>
      <c r="Q25" s="72"/>
      <c r="R25" s="74"/>
    </row>
    <row r="26" spans="1:18" x14ac:dyDescent="0.25">
      <c r="A26" s="69">
        <f>'Espesor Earlette'!A26</f>
        <v>18</v>
      </c>
      <c r="B26" s="70">
        <f>'Espesor Earlette'!B26</f>
        <v>1.7</v>
      </c>
      <c r="C26" s="70">
        <f>'Espesor Earlette'!C26</f>
        <v>2.5</v>
      </c>
      <c r="D26" s="70">
        <f>'Espesor Earlette'!J26</f>
        <v>0.12</v>
      </c>
      <c r="E26" s="70">
        <f>CEILING(IF(TYPE(VLOOKUP(A26,'Espesor Equivalente'!$A$12:$S$31,19,FALSE))=16,D26,VLOOKUP(A26,'Espesor Equivalente'!$A$12:$S$31,19,FALSE)),0.01)</f>
        <v>0.12</v>
      </c>
      <c r="F26" s="20">
        <f t="shared" si="1"/>
        <v>4.25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0.2</v>
      </c>
      <c r="K26" s="71">
        <f t="shared" si="4"/>
        <v>0.88280000000000003</v>
      </c>
      <c r="L26" s="71"/>
      <c r="M26" s="71"/>
      <c r="O26" s="70"/>
      <c r="P26" s="72"/>
      <c r="Q26" s="72"/>
      <c r="R26" s="74"/>
    </row>
    <row r="27" spans="1:18" x14ac:dyDescent="0.25">
      <c r="A27" s="69">
        <f>'Espesor Earlette'!A27</f>
        <v>19</v>
      </c>
      <c r="B27" s="70">
        <f>'Espesor Earlette'!B27</f>
        <v>4.7</v>
      </c>
      <c r="C27" s="70">
        <f>'Espesor Earlette'!C27</f>
        <v>4.5999999999999996</v>
      </c>
      <c r="D27" s="70">
        <f>'Espesor Earlette'!J27</f>
        <v>0.12</v>
      </c>
      <c r="E27" s="70">
        <f>CEILING(IF(TYPE(VLOOKUP(A27,'Espesor Equivalente'!$A$12:$S$31,19,FALSE))=16,D27,VLOOKUP(A27,'Espesor Equivalente'!$A$12:$S$31,19,FALSE)),0.01)</f>
        <v>0.12</v>
      </c>
      <c r="F27" s="20">
        <f t="shared" si="1"/>
        <v>21.619999999999997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0.2</v>
      </c>
      <c r="K27" s="71">
        <f t="shared" si="4"/>
        <v>0.88280000000000003</v>
      </c>
      <c r="L27" s="71"/>
      <c r="M27" s="71"/>
      <c r="O27" s="70"/>
      <c r="P27" s="72"/>
      <c r="Q27" s="72"/>
      <c r="R27" s="74"/>
    </row>
    <row r="28" spans="1:18" x14ac:dyDescent="0.25">
      <c r="A28" s="69">
        <f>'Espesor Earlette'!A28</f>
        <v>20</v>
      </c>
      <c r="B28" s="70">
        <f>'Espesor Earlette'!B28</f>
        <v>1.5</v>
      </c>
      <c r="C28" s="70">
        <f>'Espesor Earlette'!C28</f>
        <v>1.8</v>
      </c>
      <c r="D28" s="70">
        <f>'Espesor Earlette'!J28</f>
        <v>0.12</v>
      </c>
      <c r="E28" s="70">
        <f>CEILING(IF(TYPE(VLOOKUP(A28,'Espesor Equivalente'!$A$12:$S$31,19,FALSE))=16,D28,VLOOKUP(A28,'Espesor Equivalente'!$A$12:$S$31,19,FALSE)),0.01)</f>
        <v>0.12</v>
      </c>
      <c r="F28" s="20">
        <f t="shared" si="1"/>
        <v>2.7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0.2</v>
      </c>
      <c r="K28" s="71">
        <f t="shared" si="4"/>
        <v>0.88280000000000003</v>
      </c>
      <c r="L28" s="71"/>
      <c r="M28" s="71"/>
      <c r="O28" s="70"/>
      <c r="P28" s="72"/>
      <c r="Q28" s="72"/>
      <c r="R28" s="74"/>
    </row>
    <row r="29" spans="1:18" x14ac:dyDescent="0.25">
      <c r="A29" s="69">
        <f>'Espesor Earlette'!A29</f>
        <v>21</v>
      </c>
      <c r="B29" s="70">
        <f>'Espesor Earlette'!B29</f>
        <v>3</v>
      </c>
      <c r="C29" s="70">
        <f>'Espesor Earlette'!C29</f>
        <v>3.1</v>
      </c>
      <c r="D29" s="70">
        <f>'Espesor Earlette'!J29</f>
        <v>0.12</v>
      </c>
      <c r="E29" s="70">
        <f>CEILING(IF(TYPE(VLOOKUP(A29,'Espesor Equivalente'!$A$12:$S$31,19,FALSE))=16,D29,VLOOKUP(A29,'Espesor Equivalente'!$A$12:$S$31,19,FALSE)),0.01)</f>
        <v>0.12</v>
      </c>
      <c r="F29" s="20">
        <f t="shared" si="1"/>
        <v>9.3000000000000007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0.2</v>
      </c>
      <c r="K29" s="71">
        <f t="shared" si="4"/>
        <v>0.88280000000000003</v>
      </c>
      <c r="L29" s="71"/>
      <c r="M29" s="71"/>
      <c r="O29" s="70"/>
      <c r="P29" s="72"/>
      <c r="Q29" s="72"/>
      <c r="R29" s="74"/>
    </row>
    <row r="30" spans="1:18" x14ac:dyDescent="0.25">
      <c r="A30" s="69">
        <f>'Espesor Earlette'!A30</f>
        <v>22</v>
      </c>
      <c r="B30" s="70">
        <f>'Espesor Earlette'!B30</f>
        <v>1</v>
      </c>
      <c r="C30" s="70">
        <f>'Espesor Earlette'!C30</f>
        <v>1</v>
      </c>
      <c r="D30" s="70">
        <f>'Espesor Earlette'!J30</f>
        <v>0.12</v>
      </c>
      <c r="E30" s="70">
        <f>CEILING(IF(TYPE(VLOOKUP(A30,'Espesor Equivalente'!$A$12:$S$31,19,FALSE))=16,D30,VLOOKUP(A30,'Espesor Equivalente'!$A$12:$S$31,19,FALSE)),0.01)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0.2</v>
      </c>
      <c r="K30" s="71">
        <f t="shared" si="4"/>
        <v>0.88280000000000003</v>
      </c>
      <c r="L30" s="71"/>
      <c r="M30" s="71"/>
      <c r="O30" s="70"/>
      <c r="P30" s="72"/>
      <c r="Q30" s="72"/>
      <c r="R30" s="74"/>
    </row>
    <row r="31" spans="1:18" x14ac:dyDescent="0.25">
      <c r="A31" s="69">
        <f>'Espesor Earlette'!A31</f>
        <v>23</v>
      </c>
      <c r="B31" s="70">
        <f>'Espesor Earlette'!B31</f>
        <v>1</v>
      </c>
      <c r="C31" s="70">
        <f>'Espesor Earlette'!C31</f>
        <v>1</v>
      </c>
      <c r="D31" s="70">
        <f>'Espesor Earlette'!J31</f>
        <v>0.12</v>
      </c>
      <c r="E31" s="70">
        <f>CEILING(IF(TYPE(VLOOKUP(A31,'Espesor Equivalente'!$A$12:$S$31,19,FALSE))=16,D31,VLOOKUP(A31,'Espesor Equivalente'!$A$12:$S$31,19,FALSE)),0.01)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0.2</v>
      </c>
      <c r="K31" s="71">
        <f t="shared" si="4"/>
        <v>0.88280000000000003</v>
      </c>
      <c r="L31" s="71"/>
      <c r="M31" s="71"/>
      <c r="O31" s="70"/>
      <c r="P31" s="72"/>
      <c r="Q31" s="72"/>
      <c r="R31" s="74"/>
    </row>
    <row r="32" spans="1:18" x14ac:dyDescent="0.25">
      <c r="A32" s="69">
        <f>'Espesor Earlette'!A32</f>
        <v>24</v>
      </c>
      <c r="B32" s="70">
        <f>'Espesor Earlette'!B32</f>
        <v>1</v>
      </c>
      <c r="C32" s="70">
        <f>'Espesor Earlette'!C32</f>
        <v>1</v>
      </c>
      <c r="D32" s="70">
        <f>'Espesor Earlette'!J32</f>
        <v>0.12</v>
      </c>
      <c r="E32" s="70">
        <f>CEILING(IF(TYPE(VLOOKUP(A32,'Espesor Equivalente'!$A$12:$S$31,19,FALSE))=16,D32,VLOOKUP(A32,'Espesor Equivalente'!$A$12:$S$31,19,FALSE)),0.01)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0.2</v>
      </c>
      <c r="K32" s="71">
        <f t="shared" si="4"/>
        <v>0.88280000000000003</v>
      </c>
      <c r="L32" s="71"/>
      <c r="M32" s="71"/>
      <c r="O32" s="70"/>
      <c r="P32" s="72"/>
      <c r="Q32" s="72"/>
      <c r="R32" s="74"/>
    </row>
    <row r="33" spans="1:18" x14ac:dyDescent="0.25">
      <c r="A33" s="69">
        <f>'Espesor Earlette'!A33</f>
        <v>25</v>
      </c>
      <c r="B33" s="70">
        <f>'Espesor Earlette'!B33</f>
        <v>1</v>
      </c>
      <c r="C33" s="70">
        <f>'Espesor Earlette'!C33</f>
        <v>1</v>
      </c>
      <c r="D33" s="70">
        <f>'Espesor Earlette'!J33</f>
        <v>0.12</v>
      </c>
      <c r="E33" s="70">
        <f>CEILING(IF(TYPE(VLOOKUP(A33,'Espesor Equivalente'!$A$12:$S$31,19,FALSE))=16,D33,VLOOKUP(A33,'Espesor Equivalente'!$A$12:$S$31,19,FALSE)),0.01)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0.2</v>
      </c>
      <c r="K33" s="71">
        <f t="shared" si="4"/>
        <v>0.88280000000000003</v>
      </c>
      <c r="L33" s="71"/>
      <c r="M33" s="71"/>
      <c r="O33" s="73"/>
      <c r="P33" s="72"/>
      <c r="Q33" s="72"/>
      <c r="R33" s="74"/>
    </row>
    <row r="34" spans="1:18" x14ac:dyDescent="0.25">
      <c r="A34" s="69">
        <f>'Espesor Earlette'!A34</f>
        <v>26</v>
      </c>
      <c r="B34" s="70">
        <f>'Espesor Earlette'!B34</f>
        <v>1</v>
      </c>
      <c r="C34" s="70">
        <f>'Espesor Earlette'!C34</f>
        <v>1</v>
      </c>
      <c r="D34" s="70">
        <f>'Espesor Earlette'!J34</f>
        <v>0.12</v>
      </c>
      <c r="E34" s="70">
        <f>CEILING(IF(TYPE(VLOOKUP(A34,'Espesor Equivalente'!$A$12:$S$31,19,FALSE))=16,D34,VLOOKUP(A34,'Espesor Equivalente'!$A$12:$S$31,19,FALSE)),0.01)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0.2</v>
      </c>
      <c r="K34" s="71">
        <f t="shared" si="4"/>
        <v>0.88280000000000003</v>
      </c>
      <c r="L34" s="71"/>
      <c r="M34" s="71"/>
      <c r="O34" s="70"/>
      <c r="P34" s="72"/>
      <c r="Q34" s="72"/>
      <c r="R34" s="74"/>
    </row>
    <row r="35" spans="1:18" x14ac:dyDescent="0.25">
      <c r="A35" s="69">
        <f>'Espesor Earlette'!A35</f>
        <v>27</v>
      </c>
      <c r="B35" s="70">
        <f>'Espesor Earlette'!B35</f>
        <v>1</v>
      </c>
      <c r="C35" s="70">
        <f>'Espesor Earlette'!C35</f>
        <v>1</v>
      </c>
      <c r="D35" s="70">
        <f>'Espesor Earlette'!J35</f>
        <v>0.12</v>
      </c>
      <c r="E35" s="70">
        <f>CEILING(IF(TYPE(VLOOKUP(A35,'Espesor Equivalente'!$A$12:$S$31,19,FALSE))=16,D35,VLOOKUP(A35,'Espesor Equivalente'!$A$12:$S$31,19,FALSE)),0.01)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0.2</v>
      </c>
      <c r="K35" s="71">
        <f t="shared" si="4"/>
        <v>0.88280000000000003</v>
      </c>
      <c r="L35" s="71"/>
      <c r="M35" s="71"/>
      <c r="O35" s="70"/>
      <c r="P35" s="72"/>
      <c r="Q35" s="72"/>
      <c r="R35" s="74"/>
    </row>
    <row r="36" spans="1:18" x14ac:dyDescent="0.25">
      <c r="A36" s="69">
        <f>'Espesor Earlette'!A36</f>
        <v>28</v>
      </c>
      <c r="B36" s="70">
        <f>'Espesor Earlette'!B36</f>
        <v>1</v>
      </c>
      <c r="C36" s="70">
        <f>'Espesor Earlette'!C36</f>
        <v>1</v>
      </c>
      <c r="D36" s="70">
        <f>'Espesor Earlette'!J36</f>
        <v>0.12</v>
      </c>
      <c r="E36" s="70">
        <f>CEILING(IF(TYPE(VLOOKUP(A36,'Espesor Equivalente'!$A$12:$S$31,19,FALSE))=16,D36,VLOOKUP(A36,'Espesor Equivalente'!$A$12:$S$31,19,FALSE)),0.01)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0.2</v>
      </c>
      <c r="K36" s="71">
        <f t="shared" si="4"/>
        <v>0.88280000000000003</v>
      </c>
      <c r="L36" s="71"/>
      <c r="M36" s="71"/>
      <c r="O36" s="73"/>
      <c r="P36" s="72"/>
      <c r="Q36" s="72"/>
      <c r="R36" s="74"/>
    </row>
    <row r="37" spans="1:18" x14ac:dyDescent="0.25">
      <c r="A37" s="69">
        <f>'Espesor Earlette'!A37</f>
        <v>29</v>
      </c>
      <c r="B37" s="70">
        <f>'Espesor Earlette'!B37</f>
        <v>1</v>
      </c>
      <c r="C37" s="70">
        <f>'Espesor Earlette'!C37</f>
        <v>1</v>
      </c>
      <c r="D37" s="70">
        <f>'Espesor Earlette'!J37</f>
        <v>0.12</v>
      </c>
      <c r="E37" s="70">
        <f>CEILING(IF(TYPE(VLOOKUP(A37,'Espesor Equivalente'!$A$12:$S$31,19,FALSE))=16,D37,VLOOKUP(A37,'Espesor Equivalente'!$A$12:$S$31,19,FALSE)),0.01)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0.2</v>
      </c>
      <c r="K37" s="71">
        <f t="shared" si="4"/>
        <v>0.88280000000000003</v>
      </c>
      <c r="L37" s="71"/>
      <c r="M37" s="71"/>
      <c r="O37" s="70"/>
      <c r="P37" s="72"/>
      <c r="Q37" s="72"/>
      <c r="R37" s="74"/>
    </row>
    <row r="38" spans="1:18" x14ac:dyDescent="0.25">
      <c r="A38" s="69">
        <f>'Espesor Earlette'!A38</f>
        <v>30</v>
      </c>
      <c r="B38" s="70">
        <f>'Espesor Earlette'!B38</f>
        <v>1</v>
      </c>
      <c r="C38" s="70">
        <f>'Espesor Earlette'!C38</f>
        <v>1</v>
      </c>
      <c r="D38" s="70">
        <f>'Espesor Earlette'!J38</f>
        <v>0.12</v>
      </c>
      <c r="E38" s="70">
        <f>CEILING(IF(TYPE(VLOOKUP(A38,'Espesor Equivalente'!$A$12:$S$31,19,FALSE))=16,D38,VLOOKUP(A38,'Espesor Equivalente'!$A$12:$S$31,19,FALSE)),0.01)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0.2</v>
      </c>
      <c r="K38" s="71">
        <f t="shared" si="4"/>
        <v>0.88280000000000003</v>
      </c>
      <c r="L38" s="71"/>
      <c r="M38" s="71"/>
      <c r="O38" s="73"/>
      <c r="P38" s="72"/>
      <c r="Q38" s="72"/>
      <c r="R38" s="74"/>
    </row>
    <row r="39" spans="1:18" x14ac:dyDescent="0.25">
      <c r="A39" s="69">
        <f>'Espesor Earlette'!A39</f>
        <v>31</v>
      </c>
      <c r="B39" s="70">
        <f>'Espesor Earlette'!B39</f>
        <v>1</v>
      </c>
      <c r="C39" s="70">
        <f>'Espesor Earlette'!C39</f>
        <v>1</v>
      </c>
      <c r="D39" s="70">
        <f>'Espesor Earlette'!J39</f>
        <v>0.12</v>
      </c>
      <c r="E39" s="70">
        <f>CEILING(IF(TYPE(VLOOKUP(A39,'Espesor Equivalente'!$A$12:$S$31,19,FALSE))=16,D39,VLOOKUP(A39,'Espesor Equivalente'!$A$12:$S$31,19,FALSE)),0.01)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0.2</v>
      </c>
      <c r="K39" s="71">
        <f t="shared" si="4"/>
        <v>0.88280000000000003</v>
      </c>
      <c r="L39" s="71"/>
      <c r="M39" s="71"/>
      <c r="O39" s="70"/>
      <c r="P39" s="72"/>
      <c r="Q39" s="72"/>
      <c r="R39" s="74"/>
    </row>
    <row r="40" spans="1:18" x14ac:dyDescent="0.25">
      <c r="A40" s="69">
        <f>'Espesor Earlette'!A40</f>
        <v>32</v>
      </c>
      <c r="B40" s="70">
        <f>'Espesor Earlette'!B40</f>
        <v>1</v>
      </c>
      <c r="C40" s="70">
        <f>'Espesor Earlette'!C40</f>
        <v>1</v>
      </c>
      <c r="D40" s="70">
        <f>'Espesor Earlette'!J40</f>
        <v>0.12</v>
      </c>
      <c r="E40" s="70">
        <f>CEILING(IF(TYPE(VLOOKUP(A40,'Espesor Equivalente'!$A$12:$S$31,19,FALSE))=16,D40,VLOOKUP(A40,'Espesor Equivalente'!$A$12:$S$31,19,FALSE)),0.01)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0.2</v>
      </c>
      <c r="K40" s="71">
        <f t="shared" si="4"/>
        <v>0.88280000000000003</v>
      </c>
      <c r="L40" s="71"/>
      <c r="M40" s="71"/>
      <c r="O40" s="70"/>
      <c r="P40" s="72"/>
      <c r="Q40" s="72"/>
      <c r="R40" s="74"/>
    </row>
    <row r="41" spans="1:18" x14ac:dyDescent="0.25">
      <c r="A41" s="69">
        <f>'Espesor Earlette'!A41</f>
        <v>33</v>
      </c>
      <c r="B41" s="70">
        <f>'Espesor Earlette'!B41</f>
        <v>1</v>
      </c>
      <c r="C41" s="70">
        <f>'Espesor Earlette'!C41</f>
        <v>1</v>
      </c>
      <c r="D41" s="70">
        <f>'Espesor Earlette'!J41</f>
        <v>0.12</v>
      </c>
      <c r="E41" s="70">
        <f>CEILING(IF(TYPE(VLOOKUP(A41,'Espesor Equivalente'!$A$12:$S$31,19,FALSE))=16,D41,VLOOKUP(A41,'Espesor Equivalente'!$A$12:$S$31,19,FALSE)),0.01)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0.2</v>
      </c>
      <c r="K41" s="71">
        <f t="shared" si="4"/>
        <v>0.88280000000000003</v>
      </c>
      <c r="L41" s="71"/>
      <c r="M41" s="71"/>
      <c r="O41" s="73"/>
      <c r="P41" s="72"/>
      <c r="Q41" s="72"/>
      <c r="R41" s="74"/>
    </row>
    <row r="42" spans="1:18" x14ac:dyDescent="0.25">
      <c r="A42" s="69">
        <f>'Espesor Earlette'!A42</f>
        <v>34</v>
      </c>
      <c r="B42" s="70">
        <f>'Espesor Earlette'!B42</f>
        <v>1</v>
      </c>
      <c r="C42" s="70">
        <f>'Espesor Earlette'!C42</f>
        <v>1</v>
      </c>
      <c r="D42" s="70">
        <f>'Espesor Earlette'!J42</f>
        <v>0.12</v>
      </c>
      <c r="E42" s="70">
        <f>CEILING(IF(TYPE(VLOOKUP(A42,'Espesor Equivalente'!$A$12:$S$31,19,FALSE))=16,D42,VLOOKUP(A42,'Espesor Equivalente'!$A$12:$S$31,19,FALSE)),0.01)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0.2</v>
      </c>
      <c r="K42" s="71">
        <f t="shared" si="4"/>
        <v>0.88280000000000003</v>
      </c>
      <c r="L42" s="71"/>
      <c r="M42" s="71"/>
      <c r="O42" s="70"/>
      <c r="P42" s="72"/>
      <c r="Q42" s="72"/>
      <c r="R42" s="74"/>
    </row>
    <row r="43" spans="1:18" x14ac:dyDescent="0.25">
      <c r="A43" s="69">
        <f>'Espesor Earlette'!A43</f>
        <v>35</v>
      </c>
      <c r="B43" s="70">
        <f>'Espesor Earlette'!B43</f>
        <v>1</v>
      </c>
      <c r="C43" s="70">
        <f>'Espesor Earlette'!C43</f>
        <v>1</v>
      </c>
      <c r="D43" s="70">
        <f>'Espesor Earlette'!J43</f>
        <v>0.12</v>
      </c>
      <c r="E43" s="70">
        <f>CEILING(IF(TYPE(VLOOKUP(A43,'Espesor Equivalente'!$A$12:$S$31,19,FALSE))=16,D43,VLOOKUP(A43,'Espesor Equivalente'!$A$12:$S$31,19,FALSE)),0.01)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0.2</v>
      </c>
      <c r="K43" s="71">
        <f t="shared" si="4"/>
        <v>0.88280000000000003</v>
      </c>
      <c r="L43" s="71"/>
      <c r="M43" s="71"/>
      <c r="O43" s="70"/>
      <c r="P43" s="72"/>
      <c r="Q43" s="72"/>
      <c r="R43" s="74"/>
    </row>
    <row r="44" spans="1:18" x14ac:dyDescent="0.25">
      <c r="A44" s="69">
        <f>'Espesor Earlette'!A44</f>
        <v>36</v>
      </c>
      <c r="B44" s="70">
        <f>'Espesor Earlette'!B44</f>
        <v>1</v>
      </c>
      <c r="C44" s="70">
        <f>'Espesor Earlette'!C44</f>
        <v>1</v>
      </c>
      <c r="D44" s="70">
        <f>'Espesor Earlette'!J44</f>
        <v>0.12</v>
      </c>
      <c r="E44" s="70">
        <f>CEILING(IF(TYPE(VLOOKUP(A44,'Espesor Equivalente'!$A$12:$S$31,19,FALSE))=16,D44,VLOOKUP(A44,'Espesor Equivalente'!$A$12:$S$31,19,FALSE)),0.01)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0.2</v>
      </c>
      <c r="K44" s="71">
        <f t="shared" si="4"/>
        <v>0.88280000000000003</v>
      </c>
      <c r="L44" s="71"/>
      <c r="M44" s="71"/>
      <c r="O44" s="70"/>
      <c r="P44" s="72"/>
      <c r="Q44" s="72"/>
      <c r="R44" s="74"/>
    </row>
    <row r="45" spans="1:18" x14ac:dyDescent="0.25">
      <c r="A45" s="69">
        <f>'Espesor Earlette'!A45</f>
        <v>37</v>
      </c>
      <c r="B45" s="70">
        <f>'Espesor Earlette'!B45</f>
        <v>1</v>
      </c>
      <c r="C45" s="70">
        <f>'Espesor Earlette'!C45</f>
        <v>1</v>
      </c>
      <c r="D45" s="70">
        <f>'Espesor Earlette'!J45</f>
        <v>0.12</v>
      </c>
      <c r="E45" s="70">
        <f>CEILING(IF(TYPE(VLOOKUP(A45,'Espesor Equivalente'!$A$12:$S$31,19,FALSE))=16,D45,VLOOKUP(A45,'Espesor Equivalente'!$A$12:$S$31,19,FALSE)),0.01)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0.2</v>
      </c>
      <c r="K45" s="71">
        <f t="shared" si="4"/>
        <v>0.88280000000000003</v>
      </c>
      <c r="L45" s="71"/>
      <c r="M45" s="71"/>
      <c r="O45" s="70"/>
      <c r="P45" s="72"/>
      <c r="Q45" s="72"/>
      <c r="R45" s="74"/>
    </row>
    <row r="46" spans="1:18" x14ac:dyDescent="0.25">
      <c r="A46" s="69">
        <f>'Espesor Earlette'!A46</f>
        <v>38</v>
      </c>
      <c r="B46" s="70">
        <f>'Espesor Earlette'!B46</f>
        <v>1</v>
      </c>
      <c r="C46" s="70">
        <f>'Espesor Earlette'!C46</f>
        <v>1</v>
      </c>
      <c r="D46" s="70">
        <f>'Espesor Earlette'!J46</f>
        <v>0.12</v>
      </c>
      <c r="E46" s="70">
        <f>CEILING(IF(TYPE(VLOOKUP(A46,'Espesor Equivalente'!$A$12:$S$31,19,FALSE))=16,D46,VLOOKUP(A46,'Espesor Equivalente'!$A$12:$S$31,19,FALSE)),0.01)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0.2</v>
      </c>
      <c r="K46" s="71">
        <f t="shared" si="4"/>
        <v>0.88280000000000003</v>
      </c>
      <c r="L46" s="71"/>
      <c r="M46" s="71"/>
      <c r="O46" s="70"/>
      <c r="P46" s="72"/>
      <c r="Q46" s="72"/>
      <c r="R46" s="74"/>
    </row>
    <row r="47" spans="1:18" x14ac:dyDescent="0.25">
      <c r="A47" s="69">
        <f>'Espesor Earlette'!A47</f>
        <v>39</v>
      </c>
      <c r="B47" s="70">
        <f>'Espesor Earlette'!B47</f>
        <v>1</v>
      </c>
      <c r="C47" s="70">
        <f>'Espesor Earlette'!C47</f>
        <v>1</v>
      </c>
      <c r="D47" s="70">
        <f>'Espesor Earlette'!J47</f>
        <v>0.12</v>
      </c>
      <c r="E47" s="70">
        <f>CEILING(IF(TYPE(VLOOKUP(A47,'Espesor Equivalente'!$A$12:$S$31,19,FALSE))=16,D47,VLOOKUP(A47,'Espesor Equivalente'!$A$12:$S$31,19,FALSE)),0.01)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0.2</v>
      </c>
      <c r="K47" s="71">
        <f t="shared" si="4"/>
        <v>0.88280000000000003</v>
      </c>
      <c r="L47" s="71"/>
      <c r="M47" s="71"/>
      <c r="O47" s="70"/>
      <c r="P47" s="72"/>
      <c r="Q47" s="72"/>
      <c r="R47" s="74"/>
    </row>
    <row r="48" spans="1:18" x14ac:dyDescent="0.25">
      <c r="A48" s="69">
        <f>'Espesor Earlette'!A48</f>
        <v>40</v>
      </c>
      <c r="B48" s="70">
        <f>'Espesor Earlette'!B48</f>
        <v>1</v>
      </c>
      <c r="C48" s="70">
        <f>'Espesor Earlette'!C48</f>
        <v>1</v>
      </c>
      <c r="D48" s="70">
        <f>'Espesor Earlette'!J48</f>
        <v>0.12</v>
      </c>
      <c r="E48" s="70">
        <f>CEILING(IF(TYPE(VLOOKUP(A48,'Espesor Equivalente'!$A$12:$S$31,19,FALSE))=16,D48,VLOOKUP(A48,'Espesor Equivalente'!$A$12:$S$31,19,FALSE)),0.01)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0.2</v>
      </c>
      <c r="K48" s="71">
        <f t="shared" si="4"/>
        <v>0.88280000000000003</v>
      </c>
      <c r="L48" s="71"/>
      <c r="M48" s="71"/>
      <c r="O48" s="70"/>
      <c r="P48" s="72"/>
      <c r="Q48" s="72"/>
      <c r="R48" s="74"/>
    </row>
    <row r="49" spans="1:18" x14ac:dyDescent="0.25">
      <c r="A49" s="69">
        <f>'Espesor Earlette'!A49</f>
        <v>41</v>
      </c>
      <c r="B49" s="70">
        <f>'Espesor Earlette'!B49</f>
        <v>1</v>
      </c>
      <c r="C49" s="70">
        <f>'Espesor Earlette'!C49</f>
        <v>1</v>
      </c>
      <c r="D49" s="70">
        <f>'Espesor Earlette'!J49</f>
        <v>0.12</v>
      </c>
      <c r="E49" s="70">
        <f>CEILING(IF(TYPE(VLOOKUP(A49,'Espesor Equivalente'!$A$12:$S$31,19,FALSE))=16,D49,VLOOKUP(A49,'Espesor Equivalente'!$A$12:$S$31,19,FALSE)),0.01)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0.2</v>
      </c>
      <c r="K49" s="71">
        <f t="shared" si="4"/>
        <v>0.88280000000000003</v>
      </c>
      <c r="L49" s="71"/>
      <c r="M49" s="71"/>
      <c r="O49" s="70"/>
      <c r="P49" s="72"/>
      <c r="Q49" s="72"/>
      <c r="R49" s="74"/>
    </row>
    <row r="50" spans="1:18" x14ac:dyDescent="0.25">
      <c r="A50" s="69">
        <f>'Espesor Earlette'!A50</f>
        <v>42</v>
      </c>
      <c r="B50" s="70">
        <f>'Espesor Earlette'!B50</f>
        <v>1</v>
      </c>
      <c r="C50" s="70">
        <f>'Espesor Earlette'!C50</f>
        <v>1</v>
      </c>
      <c r="D50" s="70">
        <f>'Espesor Earlette'!J50</f>
        <v>0.12</v>
      </c>
      <c r="E50" s="70">
        <f>CEILING(IF(TYPE(VLOOKUP(A50,'Espesor Equivalente'!$A$12:$S$31,19,FALSE))=16,D50,VLOOKUP(A50,'Espesor Equivalente'!$A$12:$S$31,19,FALSE)),0.01)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0.2</v>
      </c>
      <c r="K50" s="71">
        <f t="shared" si="4"/>
        <v>0.88280000000000003</v>
      </c>
      <c r="L50" s="71"/>
      <c r="M50" s="71"/>
      <c r="O50" s="70"/>
      <c r="P50" s="72"/>
      <c r="Q50" s="72"/>
      <c r="R50" s="74"/>
    </row>
    <row r="51" spans="1:18" x14ac:dyDescent="0.25">
      <c r="A51" s="69">
        <f>'Espesor Earlette'!A51</f>
        <v>43</v>
      </c>
      <c r="B51" s="70">
        <f>'Espesor Earlette'!B51</f>
        <v>1</v>
      </c>
      <c r="C51" s="70">
        <f>'Espesor Earlette'!C51</f>
        <v>1</v>
      </c>
      <c r="D51" s="70">
        <f>'Espesor Earlette'!J51</f>
        <v>0.12</v>
      </c>
      <c r="E51" s="70">
        <f>CEILING(IF(TYPE(VLOOKUP(A51,'Espesor Equivalente'!$A$12:$S$31,19,FALSE))=16,D51,VLOOKUP(A51,'Espesor Equivalente'!$A$12:$S$31,19,FALSE)),0.01)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0.2</v>
      </c>
      <c r="K51" s="71">
        <f t="shared" si="4"/>
        <v>0.88280000000000003</v>
      </c>
      <c r="L51" s="71"/>
      <c r="N51" s="70"/>
      <c r="O51" s="72"/>
      <c r="P51" s="72"/>
      <c r="Q51" s="74"/>
    </row>
    <row r="52" spans="1:18" x14ac:dyDescent="0.25">
      <c r="A52" s="69">
        <f>'Espesor Earlette'!A52</f>
        <v>44</v>
      </c>
      <c r="B52" s="70">
        <f>'Espesor Earlette'!B52</f>
        <v>1</v>
      </c>
      <c r="C52" s="70">
        <f>'Espesor Earlette'!C52</f>
        <v>1</v>
      </c>
      <c r="D52" s="70">
        <f>'Espesor Earlette'!J52</f>
        <v>0.12</v>
      </c>
      <c r="E52" s="70">
        <f>CEILING(IF(TYPE(VLOOKUP(A52,'Espesor Equivalente'!$A$12:$S$31,19,FALSE))=16,D52,VLOOKUP(A52,'Espesor Equivalente'!$A$12:$S$31,19,FALSE)),0.01)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0.2</v>
      </c>
      <c r="K52" s="71">
        <f t="shared" si="4"/>
        <v>0.88280000000000003</v>
      </c>
      <c r="L52" s="71"/>
      <c r="N52" s="70"/>
      <c r="O52" s="72"/>
      <c r="P52" s="72"/>
      <c r="Q52" s="74"/>
    </row>
    <row r="53" spans="1:18" x14ac:dyDescent="0.25">
      <c r="A53" s="69">
        <f>'Espesor Earlette'!A53</f>
        <v>45</v>
      </c>
      <c r="B53" s="70">
        <f>'Espesor Earlette'!B53</f>
        <v>1</v>
      </c>
      <c r="C53" s="70">
        <f>'Espesor Earlette'!C53</f>
        <v>1</v>
      </c>
      <c r="D53" s="70">
        <f>'Espesor Earlette'!J53</f>
        <v>0.12</v>
      </c>
      <c r="E53" s="70">
        <f>CEILING(IF(TYPE(VLOOKUP(A53,'Espesor Equivalente'!$A$12:$S$31,19,FALSE))=16,D53,VLOOKUP(A53,'Espesor Equivalente'!$A$12:$S$31,19,FALSE)),0.01)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0.2</v>
      </c>
      <c r="K53" s="71">
        <f t="shared" si="4"/>
        <v>0.88280000000000003</v>
      </c>
      <c r="L53" s="71"/>
      <c r="N53" s="70"/>
      <c r="O53" s="72"/>
      <c r="P53" s="72"/>
      <c r="Q53" s="74"/>
    </row>
    <row r="54" spans="1:18" x14ac:dyDescent="0.25">
      <c r="A54" s="69">
        <f>'Espesor Earlette'!A54</f>
        <v>46</v>
      </c>
      <c r="B54" s="70">
        <f>'Espesor Earlette'!B54</f>
        <v>1</v>
      </c>
      <c r="C54" s="70">
        <f>'Espesor Earlette'!C54</f>
        <v>1</v>
      </c>
      <c r="D54" s="70">
        <f>'Espesor Earlette'!J54</f>
        <v>0.12</v>
      </c>
      <c r="E54" s="70">
        <f>CEILING(IF(TYPE(VLOOKUP(A54,'Espesor Equivalente'!$A$12:$S$31,19,FALSE))=16,D54,VLOOKUP(A54,'Espesor Equivalente'!$A$12:$S$31,19,FALSE)),0.01)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0.2</v>
      </c>
      <c r="K54" s="71">
        <f t="shared" si="4"/>
        <v>0.88280000000000003</v>
      </c>
      <c r="L54" s="71"/>
      <c r="N54" s="70"/>
      <c r="O54" s="72"/>
      <c r="P54" s="72"/>
      <c r="Q54" s="74"/>
    </row>
    <row r="55" spans="1:18" x14ac:dyDescent="0.25">
      <c r="A55" s="69">
        <f>'Espesor Earlette'!A55</f>
        <v>47</v>
      </c>
      <c r="B55" s="70">
        <f>'Espesor Earlette'!B55</f>
        <v>1</v>
      </c>
      <c r="C55" s="70">
        <f>'Espesor Earlette'!C55</f>
        <v>1</v>
      </c>
      <c r="D55" s="70">
        <f>'Espesor Earlette'!J55</f>
        <v>0.12</v>
      </c>
      <c r="E55" s="70">
        <f>CEILING(IF(TYPE(VLOOKUP(A55,'Espesor Equivalente'!$A$12:$S$31,19,FALSE))=16,D55,VLOOKUP(A55,'Espesor Equivalente'!$A$12:$S$31,19,FALSE)),0.01)</f>
        <v>0.12</v>
      </c>
      <c r="F55" s="20">
        <f t="shared" si="1"/>
        <v>1</v>
      </c>
      <c r="G55" s="80">
        <f t="shared" si="2"/>
        <v>0</v>
      </c>
      <c r="H55" s="20">
        <f t="shared" si="3"/>
        <v>0</v>
      </c>
      <c r="I55" s="20">
        <f>VLOOKUP(E55,Cargas!$D$8:$G$23,4,TRUE)+H55</f>
        <v>0.46899999999999997</v>
      </c>
      <c r="J55" s="75">
        <f t="shared" si="0"/>
        <v>0.2</v>
      </c>
      <c r="K55" s="71">
        <f t="shared" si="4"/>
        <v>0.88280000000000003</v>
      </c>
      <c r="L55" s="71"/>
      <c r="N55" s="70"/>
      <c r="O55" s="72"/>
      <c r="P55" s="72"/>
      <c r="Q55" s="74"/>
    </row>
    <row r="56" spans="1:18" x14ac:dyDescent="0.25">
      <c r="A56" s="69">
        <f>'Espesor Earlette'!A56</f>
        <v>48</v>
      </c>
      <c r="B56" s="70">
        <f>'Espesor Earlette'!B56</f>
        <v>1</v>
      </c>
      <c r="C56" s="70">
        <f>'Espesor Earlette'!C56</f>
        <v>1</v>
      </c>
      <c r="D56" s="70">
        <f>'Espesor Earlette'!J56</f>
        <v>0.12</v>
      </c>
      <c r="E56" s="70">
        <f>CEILING(IF(TYPE(VLOOKUP(A56,'Espesor Equivalente'!$A$12:$S$31,19,FALSE))=16,D56,VLOOKUP(A56,'Espesor Equivalente'!$A$12:$S$31,19,FALSE)),0.01)</f>
        <v>0.12</v>
      </c>
      <c r="F56" s="20">
        <f t="shared" si="1"/>
        <v>1</v>
      </c>
      <c r="G56" s="80">
        <f t="shared" si="2"/>
        <v>0</v>
      </c>
      <c r="H56" s="20">
        <f t="shared" si="3"/>
        <v>0</v>
      </c>
      <c r="I56" s="20">
        <f>VLOOKUP(E56,Cargas!$D$8:$G$23,4,TRUE)+H56</f>
        <v>0.46899999999999997</v>
      </c>
      <c r="J56" s="75">
        <f t="shared" si="0"/>
        <v>0.2</v>
      </c>
      <c r="K56" s="71">
        <f t="shared" si="4"/>
        <v>0.88280000000000003</v>
      </c>
      <c r="L56" s="71"/>
      <c r="N56" s="70"/>
      <c r="O56" s="72"/>
      <c r="P56" s="72"/>
      <c r="Q56" s="74"/>
    </row>
    <row r="57" spans="1:18" x14ac:dyDescent="0.25">
      <c r="A57" s="69">
        <f>'Espesor Earlette'!A57</f>
        <v>49</v>
      </c>
      <c r="B57" s="70">
        <f>'Espesor Earlette'!B57</f>
        <v>1</v>
      </c>
      <c r="C57" s="70">
        <f>'Espesor Earlette'!C57</f>
        <v>1</v>
      </c>
      <c r="D57" s="70">
        <f>'Espesor Earlette'!J57</f>
        <v>0.12</v>
      </c>
      <c r="E57" s="70">
        <f>CEILING(IF(TYPE(VLOOKUP(A57,'Espesor Equivalente'!$A$12:$S$31,19,FALSE))=16,D57,VLOOKUP(A57,'Espesor Equivalente'!$A$12:$S$31,19,FALSE)),0.01)</f>
        <v>0.12</v>
      </c>
      <c r="F57" s="20">
        <f t="shared" si="1"/>
        <v>1</v>
      </c>
      <c r="G57" s="80">
        <f t="shared" si="2"/>
        <v>0</v>
      </c>
      <c r="H57" s="20">
        <f t="shared" si="3"/>
        <v>0</v>
      </c>
      <c r="I57" s="20">
        <f>VLOOKUP(E57,Cargas!$D$8:$G$23,4,TRUE)+H57</f>
        <v>0.46899999999999997</v>
      </c>
      <c r="J57" s="75">
        <f t="shared" si="0"/>
        <v>0.2</v>
      </c>
      <c r="K57" s="71">
        <f t="shared" si="4"/>
        <v>0.88280000000000003</v>
      </c>
      <c r="L57" s="71"/>
      <c r="N57" s="70"/>
      <c r="O57" s="72"/>
      <c r="P57" s="72"/>
      <c r="Q57" s="74"/>
    </row>
    <row r="58" spans="1:18" x14ac:dyDescent="0.25">
      <c r="A58" s="69">
        <f>'Espesor Earlette'!A58</f>
        <v>50</v>
      </c>
      <c r="B58" s="70">
        <f>'Espesor Earlette'!B58</f>
        <v>1</v>
      </c>
      <c r="C58" s="70">
        <f>'Espesor Earlette'!C58</f>
        <v>1</v>
      </c>
      <c r="D58" s="70">
        <f>'Espesor Earlette'!J58</f>
        <v>0.12</v>
      </c>
      <c r="E58" s="70">
        <f>CEILING(IF(TYPE(VLOOKUP(A58,'Espesor Equivalente'!$A$12:$S$31,19,FALSE))=16,D58,VLOOKUP(A58,'Espesor Equivalente'!$A$12:$S$31,19,FALSE)),0.01)</f>
        <v>0.12</v>
      </c>
      <c r="F58" s="20">
        <f t="shared" si="1"/>
        <v>1</v>
      </c>
      <c r="G58" s="80">
        <f t="shared" si="2"/>
        <v>0</v>
      </c>
      <c r="H58" s="20">
        <f t="shared" si="3"/>
        <v>0</v>
      </c>
      <c r="I58" s="20">
        <f>VLOOKUP(E58,Cargas!$D$8:$G$23,4,TRUE)+H58</f>
        <v>0.46899999999999997</v>
      </c>
      <c r="J58" s="75">
        <f t="shared" si="0"/>
        <v>0.2</v>
      </c>
      <c r="K58" s="71">
        <f t="shared" si="4"/>
        <v>0.88280000000000003</v>
      </c>
      <c r="L58" s="71"/>
      <c r="N58" s="70"/>
      <c r="O58" s="72"/>
      <c r="P58" s="72"/>
      <c r="Q58" s="74"/>
    </row>
    <row r="59" spans="1:18" x14ac:dyDescent="0.25">
      <c r="I59" s="74">
        <f>AVERAGE(I9:I58)</f>
        <v>0.47705058656271521</v>
      </c>
      <c r="J59" s="74">
        <f>AVERAGE(J9:J58)</f>
        <v>0.19999999999999993</v>
      </c>
    </row>
  </sheetData>
  <mergeCells count="10">
    <mergeCell ref="B3:E3"/>
    <mergeCell ref="R11:S11"/>
    <mergeCell ref="F2:G2"/>
    <mergeCell ref="H2:J2"/>
    <mergeCell ref="F3:G3"/>
    <mergeCell ref="H3:J3"/>
    <mergeCell ref="K3:K4"/>
    <mergeCell ref="B2:E2"/>
    <mergeCell ref="G4:J4"/>
    <mergeCell ref="M6:P7"/>
  </mergeCells>
  <pageMargins left="0.7" right="0.7" top="0.75" bottom="0.75" header="0.3" footer="0.3"/>
  <pageSetup orientation="portrait" horizontalDpi="4294967295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8437-57F2-481F-AEF6-9F142937DFCA}">
  <sheetPr codeName="Hoja7"/>
  <dimension ref="A1:S59"/>
  <sheetViews>
    <sheetView topLeftCell="D1" zoomScaleNormal="100" workbookViewId="0">
      <selection activeCell="J9" sqref="J9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8.7109375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E2</v>
      </c>
    </row>
    <row r="2" spans="1:19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E2'!G2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E2</v>
      </c>
    </row>
    <row r="3" spans="1:19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E2'!J3:J4</f>
        <v>2</v>
      </c>
      <c r="L3" s="93"/>
    </row>
    <row r="4" spans="1:19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>Carga de Losas  E2</v>
      </c>
      <c r="H4" s="224"/>
      <c r="I4" s="224"/>
      <c r="J4" s="225"/>
      <c r="K4" s="203"/>
      <c r="L4" s="93"/>
    </row>
    <row r="5" spans="1:19" ht="13.5" x14ac:dyDescent="0.25">
      <c r="A5" s="61"/>
      <c r="B5" s="1"/>
      <c r="C5" s="1"/>
      <c r="D5" s="1"/>
      <c r="E5" s="1"/>
      <c r="F5" s="61"/>
      <c r="G5" s="61"/>
      <c r="H5" s="61"/>
      <c r="I5" s="61"/>
      <c r="J5" s="61"/>
      <c r="K5" s="61"/>
      <c r="L5" s="3"/>
    </row>
    <row r="6" spans="1:19" ht="13.5" x14ac:dyDescent="0.25">
      <c r="A6" s="19" t="s">
        <v>53</v>
      </c>
      <c r="B6" s="62">
        <f>COUNT(A9:A58)</f>
        <v>50</v>
      </c>
      <c r="C6" s="19" t="s">
        <v>42</v>
      </c>
      <c r="D6" s="1">
        <f>'Espesor E2'!D6</f>
        <v>4200</v>
      </c>
      <c r="E6" s="63">
        <f>'Espesor E2'!$D$6</f>
        <v>4200</v>
      </c>
      <c r="F6" s="61" t="s">
        <v>43</v>
      </c>
      <c r="G6" s="1"/>
      <c r="H6" s="1"/>
      <c r="I6" s="61"/>
      <c r="J6" s="61"/>
      <c r="K6" s="61"/>
      <c r="L6" s="3"/>
      <c r="M6" s="230" t="s">
        <v>119</v>
      </c>
      <c r="N6" s="230"/>
      <c r="O6" s="230"/>
      <c r="P6" s="230"/>
    </row>
    <row r="7" spans="1:19" ht="14.25" thickBot="1" x14ac:dyDescent="0.3">
      <c r="A7" s="1"/>
      <c r="B7" s="1"/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L7" s="61"/>
      <c r="M7" s="230"/>
      <c r="N7" s="230"/>
      <c r="O7" s="230"/>
      <c r="P7" s="230"/>
    </row>
    <row r="8" spans="1:19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109</v>
      </c>
      <c r="G8" s="66" t="s">
        <v>56</v>
      </c>
      <c r="H8" s="66" t="s">
        <v>110</v>
      </c>
      <c r="I8" s="66" t="s">
        <v>111</v>
      </c>
      <c r="J8" s="67" t="s">
        <v>112</v>
      </c>
      <c r="K8" s="68" t="s">
        <v>113</v>
      </c>
      <c r="L8" s="91"/>
      <c r="M8" s="91" t="s">
        <v>120</v>
      </c>
      <c r="N8" s="85">
        <v>20</v>
      </c>
      <c r="O8" s="85">
        <v>15</v>
      </c>
      <c r="P8" s="85">
        <v>10</v>
      </c>
    </row>
    <row r="9" spans="1:19" ht="13.5" x14ac:dyDescent="0.25">
      <c r="A9" s="69">
        <f>'Espesor E2'!A9</f>
        <v>1</v>
      </c>
      <c r="B9" s="70">
        <f>'Espesor E2'!B9</f>
        <v>1</v>
      </c>
      <c r="C9" s="70">
        <f>'Espesor E2'!C9</f>
        <v>1</v>
      </c>
      <c r="D9" s="70">
        <f>'Espesor E2'!J9</f>
        <v>0.12</v>
      </c>
      <c r="E9" s="70">
        <f>CEILING(IF(TYPE(VLOOKUP(A9,'Espesor Equivalente'!$A$33:$S$52,19,FALSE))=16,D9,VLOOKUP(A9,'Espesor Equivalente'!$A$33:$S$52,19,FALSE)),0.01)</f>
        <v>0.12</v>
      </c>
      <c r="F9" s="20">
        <f>B9*C9</f>
        <v>1</v>
      </c>
      <c r="G9" s="80">
        <f>1.8*IF(M9=0,2.8-D9,M9-D9)*(0.2*N9+0.15*O9+0.1*P9)</f>
        <v>0</v>
      </c>
      <c r="H9" s="20">
        <f>IF(G9=0,0,MAX(0.1,G9/F9))</f>
        <v>0</v>
      </c>
      <c r="I9" s="20">
        <f>VLOOKUP(E9,Cargas!$D$8:$G$23,4,TRUE)+H9</f>
        <v>0.46899999999999997</v>
      </c>
      <c r="J9" s="75">
        <f t="shared" ref="J9:J58" si="0">qle</f>
        <v>0.2</v>
      </c>
      <c r="K9" s="71">
        <f>$I$7*I9+$J$7*J9</f>
        <v>0.88280000000000003</v>
      </c>
      <c r="L9" s="71"/>
      <c r="M9" s="14"/>
    </row>
    <row r="10" spans="1:19" ht="13.5" x14ac:dyDescent="0.25">
      <c r="A10" s="69">
        <f>'Espesor E2'!A10</f>
        <v>2</v>
      </c>
      <c r="B10" s="70">
        <f>'Espesor E2'!B10</f>
        <v>1</v>
      </c>
      <c r="C10" s="70">
        <f>'Espesor E2'!C10</f>
        <v>1</v>
      </c>
      <c r="D10" s="70">
        <f>'Espesor E2'!J10</f>
        <v>0.12</v>
      </c>
      <c r="E10" s="70">
        <f>CEILING(IF(TYPE(VLOOKUP(A10,'Espesor Equivalente'!$A$33:$S$52,19,FALSE))=16,D10,VLOOKUP(A10,'Espesor Equivalente'!$A$33:$S$52,19,FALSE)),0.01)</f>
        <v>0.12</v>
      </c>
      <c r="F10" s="20">
        <f t="shared" ref="F10:F58" si="1">B10*C10</f>
        <v>1</v>
      </c>
      <c r="G10" s="80">
        <f t="shared" ref="G10:G58" si="2">1.8*IF(M10=0,2.8-D10,M10-D10)*(0.2*N10+0.15*O10+0.1*P10)</f>
        <v>0</v>
      </c>
      <c r="H10" s="20">
        <f t="shared" ref="H10:H58" si="3">IF(G10=0,0,MAX(0.1,G10/F10))</f>
        <v>0</v>
      </c>
      <c r="I10" s="20">
        <f>VLOOKUP(E10,Cargas!$D$8:$G$23,4,TRUE)+H10</f>
        <v>0.46899999999999997</v>
      </c>
      <c r="J10" s="75">
        <f t="shared" si="0"/>
        <v>0.2</v>
      </c>
      <c r="K10" s="71">
        <f t="shared" ref="K10:K58" si="4">$I$7*I10+$J$7*J10</f>
        <v>0.88280000000000003</v>
      </c>
      <c r="L10" s="71"/>
      <c r="M10" s="14"/>
    </row>
    <row r="11" spans="1:19" ht="13.5" x14ac:dyDescent="0.25">
      <c r="A11" s="69">
        <f>'Espesor E2'!A11</f>
        <v>3</v>
      </c>
      <c r="B11" s="70">
        <f>'Espesor E2'!B11</f>
        <v>1</v>
      </c>
      <c r="C11" s="70">
        <f>'Espesor E2'!C11</f>
        <v>1</v>
      </c>
      <c r="D11" s="70">
        <f>'Espesor E2'!J11</f>
        <v>0.12</v>
      </c>
      <c r="E11" s="70">
        <f>CEILING(IF(TYPE(VLOOKUP(A11,'Espesor Equivalente'!$A$33:$S$52,19,FALSE))=16,D11,VLOOKUP(A11,'Espesor Equivalente'!$A$33:$S$52,19,FALSE)),0.01)</f>
        <v>0.12</v>
      </c>
      <c r="F11" s="20">
        <f t="shared" si="1"/>
        <v>1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0.2</v>
      </c>
      <c r="K11" s="71">
        <f t="shared" si="4"/>
        <v>0.88280000000000003</v>
      </c>
      <c r="L11" s="71"/>
      <c r="M11" s="14"/>
      <c r="Q11" s="16"/>
      <c r="R11" s="231"/>
      <c r="S11" s="231"/>
    </row>
    <row r="12" spans="1:19" ht="13.5" x14ac:dyDescent="0.25">
      <c r="A12" s="69">
        <f>'Espesor E2'!A12</f>
        <v>4</v>
      </c>
      <c r="B12" s="70">
        <f>'Espesor E2'!B12</f>
        <v>1</v>
      </c>
      <c r="C12" s="70">
        <f>'Espesor E2'!C12</f>
        <v>1</v>
      </c>
      <c r="D12" s="70">
        <f>'Espesor E2'!J12</f>
        <v>0.12</v>
      </c>
      <c r="E12" s="70">
        <f>CEILING(IF(TYPE(VLOOKUP(A12,'Espesor Equivalente'!$A$33:$S$52,19,FALSE))=16,D12,VLOOKUP(A12,'Espesor Equivalente'!$A$33:$S$52,19,FALSE)),0.01)</f>
        <v>0.12</v>
      </c>
      <c r="F12" s="20">
        <f t="shared" si="1"/>
        <v>1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0.2</v>
      </c>
      <c r="K12" s="71">
        <f t="shared" si="4"/>
        <v>0.88280000000000003</v>
      </c>
      <c r="L12" s="71"/>
      <c r="M12" s="14"/>
      <c r="O12" s="6"/>
      <c r="P12" s="6"/>
      <c r="Q12" s="6"/>
      <c r="R12" s="6"/>
      <c r="S12" s="6"/>
    </row>
    <row r="13" spans="1:19" ht="13.5" x14ac:dyDescent="0.25">
      <c r="A13" s="69">
        <f>'Espesor E2'!A13</f>
        <v>5</v>
      </c>
      <c r="B13" s="70">
        <f>'Espesor E2'!B13</f>
        <v>1</v>
      </c>
      <c r="C13" s="70">
        <f>'Espesor E2'!C13</f>
        <v>1</v>
      </c>
      <c r="D13" s="70">
        <f>'Espesor E2'!J13</f>
        <v>0.12</v>
      </c>
      <c r="E13" s="70">
        <f>CEILING(IF(TYPE(VLOOKUP(A13,'Espesor Equivalente'!$A$33:$S$52,19,FALSE))=16,D13,VLOOKUP(A13,'Espesor Equivalente'!$A$33:$S$52,19,FALSE)),0.01)</f>
        <v>0.12</v>
      </c>
      <c r="F13" s="20">
        <f t="shared" si="1"/>
        <v>1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0.2</v>
      </c>
      <c r="K13" s="71">
        <f t="shared" si="4"/>
        <v>0.88280000000000003</v>
      </c>
      <c r="L13" s="71"/>
      <c r="M13" s="14"/>
      <c r="O13" s="6"/>
      <c r="P13" s="16"/>
      <c r="Q13" s="16"/>
      <c r="R13" s="2"/>
    </row>
    <row r="14" spans="1:19" ht="13.5" x14ac:dyDescent="0.25">
      <c r="A14" s="69">
        <f>'Espesor E2'!A14</f>
        <v>6</v>
      </c>
      <c r="B14" s="70">
        <f>'Espesor E2'!B14</f>
        <v>1</v>
      </c>
      <c r="C14" s="70">
        <f>'Espesor E2'!C14</f>
        <v>1</v>
      </c>
      <c r="D14" s="70">
        <f>'Espesor E2'!J14</f>
        <v>0.12</v>
      </c>
      <c r="E14" s="70">
        <f>CEILING(IF(TYPE(VLOOKUP(A14,'Espesor Equivalente'!$A$33:$S$52,19,FALSE))=16,D14,VLOOKUP(A14,'Espesor Equivalente'!$A$33:$S$52,19,FALSE)),0.01)</f>
        <v>0.12</v>
      </c>
      <c r="F14" s="20">
        <f t="shared" si="1"/>
        <v>1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0.2</v>
      </c>
      <c r="K14" s="71">
        <f t="shared" si="4"/>
        <v>0.88280000000000003</v>
      </c>
      <c r="L14" s="71"/>
      <c r="M14" s="14"/>
      <c r="O14" s="17"/>
      <c r="P14" s="16"/>
      <c r="Q14" s="16"/>
      <c r="R14" s="2"/>
    </row>
    <row r="15" spans="1:19" ht="13.5" x14ac:dyDescent="0.25">
      <c r="A15" s="69">
        <f>'Espesor E2'!A15</f>
        <v>7</v>
      </c>
      <c r="B15" s="70">
        <f>'Espesor E2'!B15</f>
        <v>1</v>
      </c>
      <c r="C15" s="70">
        <f>'Espesor E2'!C15</f>
        <v>1</v>
      </c>
      <c r="D15" s="70">
        <f>'Espesor E2'!J15</f>
        <v>0.12</v>
      </c>
      <c r="E15" s="70">
        <f>CEILING(IF(TYPE(VLOOKUP(A15,'Espesor Equivalente'!$A$33:$S$52,19,FALSE))=16,D15,VLOOKUP(A15,'Espesor Equivalente'!$A$33:$S$52,19,FALSE)),0.01)</f>
        <v>0.12</v>
      </c>
      <c r="F15" s="20">
        <f t="shared" si="1"/>
        <v>1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0.46899999999999997</v>
      </c>
      <c r="J15" s="75">
        <f t="shared" si="0"/>
        <v>0.2</v>
      </c>
      <c r="K15" s="71">
        <f t="shared" si="4"/>
        <v>0.88280000000000003</v>
      </c>
      <c r="L15" s="71"/>
      <c r="M15" s="14"/>
      <c r="O15" s="17"/>
      <c r="P15" s="16"/>
      <c r="Q15" s="16"/>
      <c r="R15" s="2"/>
    </row>
    <row r="16" spans="1:19" ht="13.5" x14ac:dyDescent="0.25">
      <c r="A16" s="69">
        <f>'Espesor E2'!A16</f>
        <v>8</v>
      </c>
      <c r="B16" s="70">
        <f>'Espesor E2'!B16</f>
        <v>1</v>
      </c>
      <c r="C16" s="70">
        <f>'Espesor E2'!C16</f>
        <v>1</v>
      </c>
      <c r="D16" s="70">
        <f>'Espesor E2'!J16</f>
        <v>0.12</v>
      </c>
      <c r="E16" s="70">
        <f>CEILING(IF(TYPE(VLOOKUP(A16,'Espesor Equivalente'!$A$33:$S$52,19,FALSE))=16,D16,VLOOKUP(A16,'Espesor Equivalente'!$A$33:$S$52,19,FALSE)),0.01)</f>
        <v>0.12</v>
      </c>
      <c r="F16" s="20">
        <f t="shared" si="1"/>
        <v>1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0.2</v>
      </c>
      <c r="K16" s="71">
        <f t="shared" si="4"/>
        <v>0.88280000000000003</v>
      </c>
      <c r="L16" s="71"/>
      <c r="M16" s="14"/>
      <c r="O16" s="17"/>
      <c r="P16" s="16"/>
      <c r="Q16" s="16"/>
      <c r="R16" s="2"/>
    </row>
    <row r="17" spans="1:18" ht="13.5" x14ac:dyDescent="0.25">
      <c r="A17" s="69">
        <f>'Espesor E2'!A17</f>
        <v>9</v>
      </c>
      <c r="B17" s="70">
        <f>'Espesor E2'!B17</f>
        <v>1</v>
      </c>
      <c r="C17" s="70">
        <f>'Espesor E2'!C17</f>
        <v>1</v>
      </c>
      <c r="D17" s="70">
        <f>'Espesor E2'!J17</f>
        <v>0.12</v>
      </c>
      <c r="E17" s="70">
        <f>CEILING(IF(TYPE(VLOOKUP(A17,'Espesor Equivalente'!$A$33:$S$52,19,FALSE))=16,D17,VLOOKUP(A17,'Espesor Equivalente'!$A$33:$S$52,19,FALSE)),0.01)</f>
        <v>0.12</v>
      </c>
      <c r="F17" s="20">
        <f t="shared" si="1"/>
        <v>1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0.2</v>
      </c>
      <c r="K17" s="71">
        <f t="shared" si="4"/>
        <v>0.88280000000000003</v>
      </c>
      <c r="L17" s="71"/>
      <c r="M17" s="14"/>
      <c r="O17" s="17"/>
      <c r="P17" s="16"/>
      <c r="Q17" s="16"/>
      <c r="R17" s="2"/>
    </row>
    <row r="18" spans="1:18" ht="13.5" x14ac:dyDescent="0.25">
      <c r="A18" s="69">
        <f>'Espesor E2'!A18</f>
        <v>10</v>
      </c>
      <c r="B18" s="70">
        <f>'Espesor E2'!B18</f>
        <v>1</v>
      </c>
      <c r="C18" s="70">
        <f>'Espesor E2'!C18</f>
        <v>1</v>
      </c>
      <c r="D18" s="70">
        <f>'Espesor E2'!J18</f>
        <v>0.12</v>
      </c>
      <c r="E18" s="70">
        <f>CEILING(IF(TYPE(VLOOKUP(A18,'Espesor Equivalente'!$A$33:$S$52,19,FALSE))=16,D18,VLOOKUP(A18,'Espesor Equivalente'!$A$33:$S$52,19,FALSE)),0.01)</f>
        <v>0.12</v>
      </c>
      <c r="F18" s="20">
        <f t="shared" si="1"/>
        <v>1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0.2</v>
      </c>
      <c r="K18" s="71">
        <f t="shared" si="4"/>
        <v>0.88280000000000003</v>
      </c>
      <c r="L18" s="71"/>
      <c r="M18" s="14"/>
      <c r="O18" s="17"/>
      <c r="P18" s="16"/>
      <c r="Q18" s="16"/>
      <c r="R18" s="2"/>
    </row>
    <row r="19" spans="1:18" ht="13.5" x14ac:dyDescent="0.25">
      <c r="A19" s="69">
        <f>'Espesor E2'!A19</f>
        <v>11</v>
      </c>
      <c r="B19" s="70">
        <f>'Espesor E2'!B19</f>
        <v>1</v>
      </c>
      <c r="C19" s="70">
        <f>'Espesor E2'!C19</f>
        <v>1</v>
      </c>
      <c r="D19" s="70">
        <f>'Espesor E2'!J19</f>
        <v>0.12</v>
      </c>
      <c r="E19" s="70">
        <f>CEILING(IF(TYPE(VLOOKUP(A19,'Espesor Equivalente'!$A$33:$S$52,19,FALSE))=16,D19,VLOOKUP(A19,'Espesor Equivalente'!$A$33:$S$52,19,FALSE)),0.01)</f>
        <v>0.12</v>
      </c>
      <c r="F19" s="20">
        <f t="shared" si="1"/>
        <v>1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0.2</v>
      </c>
      <c r="K19" s="71">
        <f t="shared" si="4"/>
        <v>0.88280000000000003</v>
      </c>
      <c r="L19" s="71"/>
      <c r="M19" s="14"/>
      <c r="O19" s="17"/>
      <c r="P19" s="16"/>
      <c r="Q19" s="16"/>
      <c r="R19" s="2"/>
    </row>
    <row r="20" spans="1:18" ht="13.5" x14ac:dyDescent="0.25">
      <c r="A20" s="69">
        <f>'Espesor E2'!A20</f>
        <v>12</v>
      </c>
      <c r="B20" s="70">
        <f>'Espesor E2'!B20</f>
        <v>1</v>
      </c>
      <c r="C20" s="70">
        <f>'Espesor E2'!C20</f>
        <v>1</v>
      </c>
      <c r="D20" s="70">
        <f>'Espesor E2'!J20</f>
        <v>0.12</v>
      </c>
      <c r="E20" s="70">
        <f>CEILING(IF(TYPE(VLOOKUP(A20,'Espesor Equivalente'!$A$33:$S$52,19,FALSE))=16,D20,VLOOKUP(A20,'Espesor Equivalente'!$A$33:$S$52,19,FALSE)),0.01)</f>
        <v>0.12</v>
      </c>
      <c r="F20" s="20">
        <f t="shared" si="1"/>
        <v>1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0.2</v>
      </c>
      <c r="K20" s="71">
        <f t="shared" si="4"/>
        <v>0.88280000000000003</v>
      </c>
      <c r="L20" s="71"/>
      <c r="M20" s="14"/>
      <c r="O20" s="17"/>
      <c r="P20" s="16"/>
      <c r="Q20" s="16"/>
      <c r="R20" s="2"/>
    </row>
    <row r="21" spans="1:18" ht="13.5" x14ac:dyDescent="0.25">
      <c r="A21" s="69">
        <f>'Espesor E2'!A21</f>
        <v>13</v>
      </c>
      <c r="B21" s="70">
        <f>'Espesor E2'!B21</f>
        <v>1</v>
      </c>
      <c r="C21" s="70">
        <f>'Espesor E2'!C21</f>
        <v>1</v>
      </c>
      <c r="D21" s="70">
        <f>'Espesor E2'!J21</f>
        <v>0.12</v>
      </c>
      <c r="E21" s="70">
        <f>CEILING(IF(TYPE(VLOOKUP(A21,'Espesor Equivalente'!$A$33:$S$52,19,FALSE))=16,D21,VLOOKUP(A21,'Espesor Equivalente'!$A$33:$S$52,19,FALSE)),0.01)</f>
        <v>0.12</v>
      </c>
      <c r="F21" s="20">
        <f t="shared" si="1"/>
        <v>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0.2</v>
      </c>
      <c r="K21" s="71">
        <f t="shared" si="4"/>
        <v>0.88280000000000003</v>
      </c>
      <c r="L21" s="71"/>
      <c r="M21" s="14"/>
      <c r="O21" s="17"/>
      <c r="P21" s="16"/>
      <c r="Q21" s="16"/>
      <c r="R21" s="2"/>
    </row>
    <row r="22" spans="1:18" ht="13.5" x14ac:dyDescent="0.25">
      <c r="A22" s="69">
        <f>'Espesor E2'!A22</f>
        <v>14</v>
      </c>
      <c r="B22" s="70">
        <f>'Espesor E2'!B22</f>
        <v>1</v>
      </c>
      <c r="C22" s="70">
        <f>'Espesor E2'!C22</f>
        <v>1</v>
      </c>
      <c r="D22" s="70">
        <f>'Espesor E2'!J22</f>
        <v>0.12</v>
      </c>
      <c r="E22" s="70">
        <f>CEILING(IF(TYPE(VLOOKUP(A22,'Espesor Equivalente'!$A$33:$S$52,19,FALSE))=16,D22,VLOOKUP(A22,'Espesor Equivalente'!$A$33:$S$52,19,FALSE)),0.01)</f>
        <v>0.12</v>
      </c>
      <c r="F22" s="20">
        <f t="shared" si="1"/>
        <v>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0.2</v>
      </c>
      <c r="K22" s="71">
        <f t="shared" si="4"/>
        <v>0.88280000000000003</v>
      </c>
      <c r="L22" s="71"/>
      <c r="M22" s="14"/>
      <c r="O22" s="17"/>
      <c r="P22" s="16"/>
      <c r="Q22" s="16"/>
      <c r="R22" s="2"/>
    </row>
    <row r="23" spans="1:18" ht="13.5" x14ac:dyDescent="0.25">
      <c r="A23" s="69">
        <f>'Espesor E2'!A23</f>
        <v>15</v>
      </c>
      <c r="B23" s="70">
        <f>'Espesor E2'!B23</f>
        <v>1</v>
      </c>
      <c r="C23" s="70">
        <f>'Espesor E2'!C23</f>
        <v>1</v>
      </c>
      <c r="D23" s="70">
        <f>'Espesor E2'!J23</f>
        <v>0.12</v>
      </c>
      <c r="E23" s="70">
        <f>CEILING(IF(TYPE(VLOOKUP(A23,'Espesor Equivalente'!$A$33:$S$52,19,FALSE))=16,D23,VLOOKUP(A23,'Espesor Equivalente'!$A$33:$S$52,19,FALSE)),0.01)</f>
        <v>0.12</v>
      </c>
      <c r="F23" s="20">
        <f t="shared" si="1"/>
        <v>1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0.2</v>
      </c>
      <c r="K23" s="71">
        <f t="shared" si="4"/>
        <v>0.88280000000000003</v>
      </c>
      <c r="L23" s="71"/>
      <c r="M23" s="14"/>
      <c r="O23" s="17"/>
      <c r="P23" s="16"/>
      <c r="Q23" s="16"/>
      <c r="R23" s="2"/>
    </row>
    <row r="24" spans="1:18" ht="13.5" x14ac:dyDescent="0.25">
      <c r="A24" s="69">
        <f>'Espesor E2'!A24</f>
        <v>16</v>
      </c>
      <c r="B24" s="70">
        <f>'Espesor E2'!B24</f>
        <v>1</v>
      </c>
      <c r="C24" s="70">
        <f>'Espesor E2'!C24</f>
        <v>1</v>
      </c>
      <c r="D24" s="70">
        <f>'Espesor E2'!J24</f>
        <v>0.12</v>
      </c>
      <c r="E24" s="70">
        <f>CEILING(IF(TYPE(VLOOKUP(A24,'Espesor Equivalente'!$A$33:$S$52,19,FALSE))=16,D24,VLOOKUP(A24,'Espesor Equivalente'!$A$33:$S$52,19,FALSE)),0.01)</f>
        <v>0.12</v>
      </c>
      <c r="F24" s="20">
        <f t="shared" si="1"/>
        <v>1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0.2</v>
      </c>
      <c r="K24" s="71">
        <f t="shared" si="4"/>
        <v>0.88280000000000003</v>
      </c>
      <c r="L24" s="71"/>
      <c r="M24" s="14"/>
      <c r="O24" s="17"/>
      <c r="P24" s="16"/>
      <c r="Q24" s="16"/>
      <c r="R24" s="2"/>
    </row>
    <row r="25" spans="1:18" ht="13.5" x14ac:dyDescent="0.25">
      <c r="A25" s="69">
        <f>'Espesor E2'!A25</f>
        <v>17</v>
      </c>
      <c r="B25" s="70">
        <f>'Espesor E2'!B25</f>
        <v>1</v>
      </c>
      <c r="C25" s="70">
        <f>'Espesor E2'!C25</f>
        <v>1</v>
      </c>
      <c r="D25" s="70">
        <f>'Espesor E2'!J25</f>
        <v>0.12</v>
      </c>
      <c r="E25" s="70">
        <f>CEILING(IF(TYPE(VLOOKUP(A25,'Espesor Equivalente'!$A$33:$S$52,19,FALSE))=16,D25,VLOOKUP(A25,'Espesor Equivalente'!$A$33:$S$52,19,FALSE)),0.01)</f>
        <v>0.12</v>
      </c>
      <c r="F25" s="20">
        <f t="shared" si="1"/>
        <v>1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0.2</v>
      </c>
      <c r="K25" s="71">
        <f t="shared" si="4"/>
        <v>0.88280000000000003</v>
      </c>
      <c r="L25" s="71"/>
      <c r="M25" s="14"/>
      <c r="O25" s="17"/>
      <c r="P25" s="16"/>
      <c r="Q25" s="16"/>
      <c r="R25" s="2"/>
    </row>
    <row r="26" spans="1:18" ht="13.5" x14ac:dyDescent="0.25">
      <c r="A26" s="69">
        <f>'Espesor E2'!A26</f>
        <v>18</v>
      </c>
      <c r="B26" s="70">
        <f>'Espesor E2'!B26</f>
        <v>1</v>
      </c>
      <c r="C26" s="70">
        <f>'Espesor E2'!C26</f>
        <v>1</v>
      </c>
      <c r="D26" s="70">
        <f>'Espesor E2'!J26</f>
        <v>0.12</v>
      </c>
      <c r="E26" s="70">
        <f>CEILING(IF(TYPE(VLOOKUP(A26,'Espesor Equivalente'!$A$33:$S$52,19,FALSE))=16,D26,VLOOKUP(A26,'Espesor Equivalente'!$A$33:$S$52,19,FALSE)),0.01)</f>
        <v>0.12</v>
      </c>
      <c r="F26" s="20">
        <f t="shared" si="1"/>
        <v>1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0.2</v>
      </c>
      <c r="K26" s="71">
        <f t="shared" si="4"/>
        <v>0.88280000000000003</v>
      </c>
      <c r="L26" s="71"/>
      <c r="M26" s="14"/>
      <c r="O26" s="17"/>
      <c r="P26" s="16"/>
      <c r="Q26" s="16"/>
      <c r="R26" s="2"/>
    </row>
    <row r="27" spans="1:18" ht="13.5" x14ac:dyDescent="0.25">
      <c r="A27" s="69">
        <f>'Espesor E2'!A27</f>
        <v>19</v>
      </c>
      <c r="B27" s="70">
        <f>'Espesor E2'!B27</f>
        <v>1</v>
      </c>
      <c r="C27" s="70">
        <f>'Espesor E2'!C27</f>
        <v>1</v>
      </c>
      <c r="D27" s="70">
        <f>'Espesor E2'!J27</f>
        <v>0.12</v>
      </c>
      <c r="E27" s="70">
        <f>CEILING(IF(TYPE(VLOOKUP(A27,'Espesor Equivalente'!$A$33:$S$52,19,FALSE))=16,D27,VLOOKUP(A27,'Espesor Equivalente'!$A$33:$S$52,19,FALSE)),0.01)</f>
        <v>0.12</v>
      </c>
      <c r="F27" s="20">
        <f t="shared" si="1"/>
        <v>1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0.2</v>
      </c>
      <c r="K27" s="71">
        <f t="shared" si="4"/>
        <v>0.88280000000000003</v>
      </c>
      <c r="L27" s="71"/>
      <c r="M27" s="14"/>
      <c r="O27" s="17"/>
      <c r="P27" s="16"/>
      <c r="Q27" s="16"/>
      <c r="R27" s="2"/>
    </row>
    <row r="28" spans="1:18" ht="13.5" x14ac:dyDescent="0.25">
      <c r="A28" s="69">
        <f>'Espesor E2'!A28</f>
        <v>20</v>
      </c>
      <c r="B28" s="70">
        <f>'Espesor E2'!B28</f>
        <v>1</v>
      </c>
      <c r="C28" s="70">
        <f>'Espesor E2'!C28</f>
        <v>1</v>
      </c>
      <c r="D28" s="70">
        <f>'Espesor E2'!J28</f>
        <v>0.12</v>
      </c>
      <c r="E28" s="70">
        <f>CEILING(IF(TYPE(VLOOKUP(A28,'Espesor Equivalente'!$A$33:$S$52,19,FALSE))=16,D28,VLOOKUP(A28,'Espesor Equivalente'!$A$33:$S$52,19,FALSE)),0.01)</f>
        <v>0.12</v>
      </c>
      <c r="F28" s="20">
        <f t="shared" si="1"/>
        <v>1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0.2</v>
      </c>
      <c r="K28" s="71">
        <f t="shared" si="4"/>
        <v>0.88280000000000003</v>
      </c>
      <c r="L28" s="71"/>
      <c r="M28" s="14"/>
      <c r="O28" s="17"/>
      <c r="P28" s="16"/>
      <c r="Q28" s="16"/>
      <c r="R28" s="2"/>
    </row>
    <row r="29" spans="1:18" ht="13.5" x14ac:dyDescent="0.25">
      <c r="A29" s="69">
        <f>'Espesor E2'!A29</f>
        <v>21</v>
      </c>
      <c r="B29" s="70">
        <f>'Espesor E2'!B29</f>
        <v>1</v>
      </c>
      <c r="C29" s="70">
        <f>'Espesor E2'!C29</f>
        <v>1</v>
      </c>
      <c r="D29" s="70">
        <f>'Espesor E2'!J29</f>
        <v>0.12</v>
      </c>
      <c r="E29" s="70">
        <f>CEILING(IF(TYPE(VLOOKUP(A29,'Espesor Equivalente'!$A$33:$S$52,19,FALSE))=16,D29,VLOOKUP(A29,'Espesor Equivalente'!$A$33:$S$52,19,FALSE)),0.01)</f>
        <v>0.12</v>
      </c>
      <c r="F29" s="20">
        <f t="shared" si="1"/>
        <v>1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0.2</v>
      </c>
      <c r="K29" s="71">
        <f t="shared" si="4"/>
        <v>0.88280000000000003</v>
      </c>
      <c r="L29" s="71"/>
      <c r="M29" s="14"/>
      <c r="O29" s="17"/>
      <c r="P29" s="16"/>
      <c r="Q29" s="16"/>
      <c r="R29" s="2"/>
    </row>
    <row r="30" spans="1:18" ht="13.5" x14ac:dyDescent="0.25">
      <c r="A30" s="69">
        <f>'Espesor E2'!A30</f>
        <v>22</v>
      </c>
      <c r="B30" s="70">
        <f>'Espesor E2'!B30</f>
        <v>1</v>
      </c>
      <c r="C30" s="70">
        <f>'Espesor E2'!C30</f>
        <v>1</v>
      </c>
      <c r="D30" s="70">
        <f>'Espesor E2'!J30</f>
        <v>0.12</v>
      </c>
      <c r="E30" s="70">
        <f>CEILING(IF(TYPE(VLOOKUP(A30,'Espesor Equivalente'!$A$33:$S$52,19,FALSE))=16,D30,VLOOKUP(A30,'Espesor Equivalente'!$A$33:$S$52,19,FALSE)),0.01)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0.2</v>
      </c>
      <c r="K30" s="71">
        <f t="shared" si="4"/>
        <v>0.88280000000000003</v>
      </c>
      <c r="L30" s="71"/>
      <c r="M30" s="14"/>
      <c r="O30" s="17"/>
      <c r="P30" s="16"/>
      <c r="Q30" s="16"/>
      <c r="R30" s="2"/>
    </row>
    <row r="31" spans="1:18" ht="13.5" x14ac:dyDescent="0.25">
      <c r="A31" s="69">
        <f>'Espesor E2'!A31</f>
        <v>23</v>
      </c>
      <c r="B31" s="70">
        <f>'Espesor E2'!B31</f>
        <v>1</v>
      </c>
      <c r="C31" s="70">
        <f>'Espesor E2'!C31</f>
        <v>1</v>
      </c>
      <c r="D31" s="70">
        <f>'Espesor E2'!J31</f>
        <v>0.12</v>
      </c>
      <c r="E31" s="70">
        <f>CEILING(IF(TYPE(VLOOKUP(A31,'Espesor Equivalente'!$A$33:$S$52,19,FALSE))=16,D31,VLOOKUP(A31,'Espesor Equivalente'!$A$33:$S$52,19,FALSE)),0.01)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0.2</v>
      </c>
      <c r="K31" s="71">
        <f t="shared" si="4"/>
        <v>0.88280000000000003</v>
      </c>
      <c r="L31" s="71"/>
      <c r="M31" s="14"/>
      <c r="O31" s="17"/>
      <c r="P31" s="16"/>
      <c r="Q31" s="16"/>
      <c r="R31" s="2"/>
    </row>
    <row r="32" spans="1:18" ht="13.5" x14ac:dyDescent="0.25">
      <c r="A32" s="69">
        <f>'Espesor E2'!A32</f>
        <v>24</v>
      </c>
      <c r="B32" s="70">
        <f>'Espesor E2'!B32</f>
        <v>1</v>
      </c>
      <c r="C32" s="70">
        <f>'Espesor E2'!C32</f>
        <v>1</v>
      </c>
      <c r="D32" s="70">
        <f>'Espesor E2'!J32</f>
        <v>0.12</v>
      </c>
      <c r="E32" s="70">
        <f>CEILING(IF(TYPE(VLOOKUP(A32,'Espesor Equivalente'!$A$33:$S$52,19,FALSE))=16,D32,VLOOKUP(A32,'Espesor Equivalente'!$A$33:$S$52,19,FALSE)),0.01)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0.2</v>
      </c>
      <c r="K32" s="71">
        <f t="shared" si="4"/>
        <v>0.88280000000000003</v>
      </c>
      <c r="L32" s="71"/>
      <c r="M32" s="14"/>
      <c r="O32" s="17"/>
      <c r="P32" s="16"/>
      <c r="Q32" s="16"/>
      <c r="R32" s="2"/>
    </row>
    <row r="33" spans="1:18" ht="13.5" x14ac:dyDescent="0.25">
      <c r="A33" s="69">
        <f>'Espesor E2'!A33</f>
        <v>25</v>
      </c>
      <c r="B33" s="70">
        <f>'Espesor E2'!B33</f>
        <v>1</v>
      </c>
      <c r="C33" s="70">
        <f>'Espesor E2'!C33</f>
        <v>1</v>
      </c>
      <c r="D33" s="70">
        <f>'Espesor E2'!J33</f>
        <v>0.12</v>
      </c>
      <c r="E33" s="70">
        <f>CEILING(IF(TYPE(VLOOKUP(A33,'Espesor Equivalente'!$A$33:$S$52,19,FALSE))=16,D33,VLOOKUP(A33,'Espesor Equivalente'!$A$33:$S$52,19,FALSE)),0.01)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0.2</v>
      </c>
      <c r="K33" s="71">
        <f t="shared" si="4"/>
        <v>0.88280000000000003</v>
      </c>
      <c r="L33" s="71"/>
      <c r="M33" s="14"/>
      <c r="O33" s="17"/>
      <c r="P33" s="16"/>
      <c r="Q33" s="16"/>
      <c r="R33" s="2"/>
    </row>
    <row r="34" spans="1:18" ht="13.5" x14ac:dyDescent="0.25">
      <c r="A34" s="69">
        <f>'Espesor E2'!A34</f>
        <v>26</v>
      </c>
      <c r="B34" s="70">
        <f>'Espesor E2'!B34</f>
        <v>1</v>
      </c>
      <c r="C34" s="70">
        <f>'Espesor E2'!C34</f>
        <v>1</v>
      </c>
      <c r="D34" s="70">
        <f>'Espesor E2'!J34</f>
        <v>0.12</v>
      </c>
      <c r="E34" s="70">
        <f>CEILING(IF(TYPE(VLOOKUP(A34,'Espesor Equivalente'!$A$33:$S$52,19,FALSE))=16,D34,VLOOKUP(A34,'Espesor Equivalente'!$A$33:$S$52,19,FALSE)),0.01)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0.2</v>
      </c>
      <c r="K34" s="71">
        <f t="shared" si="4"/>
        <v>0.88280000000000003</v>
      </c>
      <c r="L34" s="71"/>
      <c r="M34" s="14"/>
      <c r="O34" s="17"/>
      <c r="P34" s="16"/>
      <c r="Q34" s="16"/>
      <c r="R34" s="2"/>
    </row>
    <row r="35" spans="1:18" ht="13.5" x14ac:dyDescent="0.25">
      <c r="A35" s="69">
        <f>'Espesor E2'!A35</f>
        <v>27</v>
      </c>
      <c r="B35" s="70">
        <f>'Espesor E2'!B35</f>
        <v>1</v>
      </c>
      <c r="C35" s="70">
        <f>'Espesor E2'!C35</f>
        <v>1</v>
      </c>
      <c r="D35" s="70">
        <f>'Espesor E2'!J35</f>
        <v>0.12</v>
      </c>
      <c r="E35" s="70">
        <f>CEILING(IF(TYPE(VLOOKUP(A35,'Espesor Equivalente'!$A$33:$S$52,19,FALSE))=16,D35,VLOOKUP(A35,'Espesor Equivalente'!$A$33:$S$52,19,FALSE)),0.01)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0.2</v>
      </c>
      <c r="K35" s="71">
        <f t="shared" si="4"/>
        <v>0.88280000000000003</v>
      </c>
      <c r="L35" s="71"/>
      <c r="M35" s="14"/>
      <c r="O35" s="17"/>
      <c r="P35" s="16"/>
      <c r="Q35" s="16"/>
      <c r="R35" s="2"/>
    </row>
    <row r="36" spans="1:18" ht="13.5" x14ac:dyDescent="0.25">
      <c r="A36" s="69">
        <f>'Espesor E2'!A36</f>
        <v>28</v>
      </c>
      <c r="B36" s="70">
        <f>'Espesor E2'!B36</f>
        <v>1</v>
      </c>
      <c r="C36" s="70">
        <f>'Espesor E2'!C36</f>
        <v>1</v>
      </c>
      <c r="D36" s="70">
        <f>'Espesor E2'!J36</f>
        <v>0.12</v>
      </c>
      <c r="E36" s="70">
        <f>CEILING(IF(TYPE(VLOOKUP(A36,'Espesor Equivalente'!$A$33:$S$52,19,FALSE))=16,D36,VLOOKUP(A36,'Espesor Equivalente'!$A$33:$S$52,19,FALSE)),0.01)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0.2</v>
      </c>
      <c r="K36" s="71">
        <f t="shared" si="4"/>
        <v>0.88280000000000003</v>
      </c>
      <c r="L36" s="71"/>
      <c r="M36" s="14"/>
      <c r="O36" s="17"/>
      <c r="P36" s="16"/>
      <c r="Q36" s="16"/>
      <c r="R36" s="2"/>
    </row>
    <row r="37" spans="1:18" ht="13.5" x14ac:dyDescent="0.25">
      <c r="A37" s="69">
        <f>'Espesor E2'!A37</f>
        <v>29</v>
      </c>
      <c r="B37" s="70">
        <f>'Espesor E2'!B37</f>
        <v>1</v>
      </c>
      <c r="C37" s="70">
        <f>'Espesor E2'!C37</f>
        <v>1</v>
      </c>
      <c r="D37" s="70">
        <f>'Espesor E2'!J37</f>
        <v>0.12</v>
      </c>
      <c r="E37" s="70">
        <f>CEILING(IF(TYPE(VLOOKUP(A37,'Espesor Equivalente'!$A$33:$S$52,19,FALSE))=16,D37,VLOOKUP(A37,'Espesor Equivalente'!$A$33:$S$52,19,FALSE)),0.01)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0.2</v>
      </c>
      <c r="K37" s="71">
        <f t="shared" si="4"/>
        <v>0.88280000000000003</v>
      </c>
      <c r="L37" s="71"/>
      <c r="M37" s="14"/>
      <c r="O37" s="17"/>
      <c r="P37" s="16"/>
      <c r="Q37" s="16"/>
      <c r="R37" s="2"/>
    </row>
    <row r="38" spans="1:18" ht="13.5" x14ac:dyDescent="0.25">
      <c r="A38" s="69">
        <f>'Espesor E2'!A38</f>
        <v>30</v>
      </c>
      <c r="B38" s="70">
        <f>'Espesor E2'!B38</f>
        <v>1</v>
      </c>
      <c r="C38" s="70">
        <f>'Espesor E2'!C38</f>
        <v>1</v>
      </c>
      <c r="D38" s="70">
        <f>'Espesor E2'!J38</f>
        <v>0.12</v>
      </c>
      <c r="E38" s="70">
        <f>CEILING(IF(TYPE(VLOOKUP(A38,'Espesor Equivalente'!$A$33:$S$52,19,FALSE))=16,D38,VLOOKUP(A38,'Espesor Equivalente'!$A$33:$S$52,19,FALSE)),0.01)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0.2</v>
      </c>
      <c r="K38" s="71">
        <f t="shared" si="4"/>
        <v>0.88280000000000003</v>
      </c>
      <c r="L38" s="71"/>
      <c r="M38" s="14"/>
      <c r="O38" s="17"/>
      <c r="P38" s="16"/>
      <c r="Q38" s="16"/>
      <c r="R38" s="2"/>
    </row>
    <row r="39" spans="1:18" ht="13.5" x14ac:dyDescent="0.25">
      <c r="A39" s="69">
        <f>'Espesor E2'!A39</f>
        <v>31</v>
      </c>
      <c r="B39" s="70">
        <f>'Espesor E2'!B39</f>
        <v>1</v>
      </c>
      <c r="C39" s="70">
        <f>'Espesor E2'!C39</f>
        <v>1</v>
      </c>
      <c r="D39" s="70">
        <f>'Espesor E2'!J39</f>
        <v>0.12</v>
      </c>
      <c r="E39" s="70">
        <f>CEILING(IF(TYPE(VLOOKUP(A39,'Espesor Equivalente'!$A$33:$S$52,19,FALSE))=16,D39,VLOOKUP(A39,'Espesor Equivalente'!$A$33:$S$52,19,FALSE)),0.01)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0.2</v>
      </c>
      <c r="K39" s="71">
        <f t="shared" si="4"/>
        <v>0.88280000000000003</v>
      </c>
      <c r="L39" s="71"/>
      <c r="M39" s="14"/>
      <c r="O39" s="17"/>
      <c r="P39" s="16"/>
      <c r="Q39" s="16"/>
      <c r="R39" s="2"/>
    </row>
    <row r="40" spans="1:18" ht="13.5" x14ac:dyDescent="0.25">
      <c r="A40" s="69">
        <f>'Espesor E2'!A40</f>
        <v>32</v>
      </c>
      <c r="B40" s="70">
        <f>'Espesor E2'!B40</f>
        <v>1</v>
      </c>
      <c r="C40" s="70">
        <f>'Espesor E2'!C40</f>
        <v>1</v>
      </c>
      <c r="D40" s="70">
        <f>'Espesor E2'!J40</f>
        <v>0.12</v>
      </c>
      <c r="E40" s="70">
        <f>CEILING(IF(TYPE(VLOOKUP(A40,'Espesor Equivalente'!$A$33:$S$52,19,FALSE))=16,D40,VLOOKUP(A40,'Espesor Equivalente'!$A$33:$S$52,19,FALSE)),0.01)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0.2</v>
      </c>
      <c r="K40" s="71">
        <f t="shared" si="4"/>
        <v>0.88280000000000003</v>
      </c>
      <c r="L40" s="71"/>
      <c r="M40" s="14"/>
      <c r="O40" s="17"/>
      <c r="P40" s="16"/>
      <c r="Q40" s="16"/>
      <c r="R40" s="2"/>
    </row>
    <row r="41" spans="1:18" ht="13.5" x14ac:dyDescent="0.25">
      <c r="A41" s="69">
        <f>'Espesor E2'!A41</f>
        <v>33</v>
      </c>
      <c r="B41" s="70">
        <f>'Espesor E2'!B41</f>
        <v>1</v>
      </c>
      <c r="C41" s="70">
        <f>'Espesor E2'!C41</f>
        <v>1</v>
      </c>
      <c r="D41" s="70">
        <f>'Espesor E2'!J41</f>
        <v>0.12</v>
      </c>
      <c r="E41" s="70">
        <f>CEILING(IF(TYPE(VLOOKUP(A41,'Espesor Equivalente'!$A$33:$S$52,19,FALSE))=16,D41,VLOOKUP(A41,'Espesor Equivalente'!$A$33:$S$52,19,FALSE)),0.01)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0.2</v>
      </c>
      <c r="K41" s="71">
        <f t="shared" si="4"/>
        <v>0.88280000000000003</v>
      </c>
      <c r="L41" s="71"/>
      <c r="M41" s="14"/>
      <c r="O41" s="17"/>
      <c r="P41" s="16"/>
      <c r="Q41" s="16"/>
      <c r="R41" s="2"/>
    </row>
    <row r="42" spans="1:18" ht="13.5" x14ac:dyDescent="0.25">
      <c r="A42" s="69">
        <f>'Espesor E2'!A42</f>
        <v>34</v>
      </c>
      <c r="B42" s="70">
        <f>'Espesor E2'!B42</f>
        <v>1</v>
      </c>
      <c r="C42" s="70">
        <f>'Espesor E2'!C42</f>
        <v>1</v>
      </c>
      <c r="D42" s="70">
        <f>'Espesor E2'!J42</f>
        <v>0.12</v>
      </c>
      <c r="E42" s="70">
        <f>CEILING(IF(TYPE(VLOOKUP(A42,'Espesor Equivalente'!$A$33:$S$52,19,FALSE))=16,D42,VLOOKUP(A42,'Espesor Equivalente'!$A$33:$S$52,19,FALSE)),0.01)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0.2</v>
      </c>
      <c r="K42" s="71">
        <f t="shared" si="4"/>
        <v>0.88280000000000003</v>
      </c>
      <c r="L42" s="71"/>
      <c r="M42" s="14"/>
      <c r="O42" s="17"/>
      <c r="P42" s="16"/>
      <c r="Q42" s="16"/>
      <c r="R42" s="2"/>
    </row>
    <row r="43" spans="1:18" ht="13.5" x14ac:dyDescent="0.25">
      <c r="A43" s="69">
        <f>'Espesor E2'!A43</f>
        <v>35</v>
      </c>
      <c r="B43" s="70">
        <f>'Espesor E2'!B43</f>
        <v>1</v>
      </c>
      <c r="C43" s="70">
        <f>'Espesor E2'!C43</f>
        <v>1</v>
      </c>
      <c r="D43" s="70">
        <f>'Espesor E2'!J43</f>
        <v>0.12</v>
      </c>
      <c r="E43" s="70">
        <f>CEILING(IF(TYPE(VLOOKUP(A43,'Espesor Equivalente'!$A$33:$S$52,19,FALSE))=16,D43,VLOOKUP(A43,'Espesor Equivalente'!$A$33:$S$52,19,FALSE)),0.01)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0.2</v>
      </c>
      <c r="K43" s="71">
        <f t="shared" si="4"/>
        <v>0.88280000000000003</v>
      </c>
      <c r="L43" s="71"/>
      <c r="M43" s="14"/>
      <c r="O43" s="17"/>
      <c r="P43" s="16"/>
      <c r="Q43" s="16"/>
      <c r="R43" s="2"/>
    </row>
    <row r="44" spans="1:18" ht="13.5" x14ac:dyDescent="0.25">
      <c r="A44" s="69">
        <f>'Espesor E2'!A44</f>
        <v>36</v>
      </c>
      <c r="B44" s="70">
        <f>'Espesor E2'!B44</f>
        <v>1</v>
      </c>
      <c r="C44" s="70">
        <f>'Espesor E2'!C44</f>
        <v>1</v>
      </c>
      <c r="D44" s="70">
        <f>'Espesor E2'!J44</f>
        <v>0.12</v>
      </c>
      <c r="E44" s="70">
        <f>CEILING(IF(TYPE(VLOOKUP(A44,'Espesor Equivalente'!$A$33:$S$52,19,FALSE))=16,D44,VLOOKUP(A44,'Espesor Equivalente'!$A$33:$S$52,19,FALSE)),0.01)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0.2</v>
      </c>
      <c r="K44" s="71">
        <f t="shared" si="4"/>
        <v>0.88280000000000003</v>
      </c>
      <c r="L44" s="71"/>
      <c r="M44" s="14"/>
      <c r="O44" s="6"/>
      <c r="P44" s="16"/>
      <c r="Q44" s="16"/>
      <c r="R44" s="2"/>
    </row>
    <row r="45" spans="1:18" ht="13.5" x14ac:dyDescent="0.25">
      <c r="A45" s="69">
        <f>'Espesor E2'!A45</f>
        <v>37</v>
      </c>
      <c r="B45" s="70">
        <f>'Espesor E2'!B45</f>
        <v>1</v>
      </c>
      <c r="C45" s="70">
        <f>'Espesor E2'!C45</f>
        <v>1</v>
      </c>
      <c r="D45" s="70">
        <f>'Espesor E2'!J45</f>
        <v>0.12</v>
      </c>
      <c r="E45" s="70">
        <f>CEILING(IF(TYPE(VLOOKUP(A45,'Espesor Equivalente'!$A$33:$S$52,19,FALSE))=16,D45,VLOOKUP(A45,'Espesor Equivalente'!$A$33:$S$52,19,FALSE)),0.01)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0.2</v>
      </c>
      <c r="K45" s="71">
        <f t="shared" si="4"/>
        <v>0.88280000000000003</v>
      </c>
      <c r="L45" s="71"/>
      <c r="M45" s="14"/>
      <c r="O45" s="17"/>
      <c r="P45" s="16"/>
      <c r="Q45" s="16"/>
      <c r="R45" s="2"/>
    </row>
    <row r="46" spans="1:18" ht="13.5" x14ac:dyDescent="0.25">
      <c r="A46" s="69">
        <f>'Espesor E2'!A46</f>
        <v>38</v>
      </c>
      <c r="B46" s="70">
        <f>'Espesor E2'!B46</f>
        <v>1</v>
      </c>
      <c r="C46" s="70">
        <f>'Espesor E2'!C46</f>
        <v>1</v>
      </c>
      <c r="D46" s="70">
        <f>'Espesor E2'!J46</f>
        <v>0.12</v>
      </c>
      <c r="E46" s="70">
        <f>CEILING(IF(TYPE(VLOOKUP(A46,'Espesor Equivalente'!$A$33:$S$52,19,FALSE))=16,D46,VLOOKUP(A46,'Espesor Equivalente'!$A$33:$S$52,19,FALSE)),0.01)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0.2</v>
      </c>
      <c r="K46" s="71">
        <f t="shared" si="4"/>
        <v>0.88280000000000003</v>
      </c>
      <c r="L46" s="71"/>
      <c r="M46" s="14"/>
      <c r="O46" s="17"/>
      <c r="P46" s="16"/>
      <c r="Q46" s="16"/>
      <c r="R46" s="2"/>
    </row>
    <row r="47" spans="1:18" ht="13.5" x14ac:dyDescent="0.25">
      <c r="A47" s="69">
        <f>'Espesor E2'!A47</f>
        <v>39</v>
      </c>
      <c r="B47" s="70">
        <f>'Espesor E2'!B47</f>
        <v>1</v>
      </c>
      <c r="C47" s="70">
        <f>'Espesor E2'!C47</f>
        <v>1</v>
      </c>
      <c r="D47" s="70">
        <f>'Espesor E2'!J47</f>
        <v>0.12</v>
      </c>
      <c r="E47" s="70">
        <f>CEILING(IF(TYPE(VLOOKUP(A47,'Espesor Equivalente'!$A$33:$S$52,19,FALSE))=16,D47,VLOOKUP(A47,'Espesor Equivalente'!$A$33:$S$52,19,FALSE)),0.01)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0.2</v>
      </c>
      <c r="K47" s="71">
        <f t="shared" si="4"/>
        <v>0.88280000000000003</v>
      </c>
      <c r="L47" s="71"/>
      <c r="M47" s="14"/>
      <c r="O47" s="6"/>
      <c r="P47" s="16"/>
      <c r="Q47" s="16"/>
      <c r="R47" s="2"/>
    </row>
    <row r="48" spans="1:18" ht="13.5" x14ac:dyDescent="0.25">
      <c r="A48" s="69">
        <f>'Espesor E2'!A48</f>
        <v>40</v>
      </c>
      <c r="B48" s="70">
        <f>'Espesor E2'!B48</f>
        <v>1</v>
      </c>
      <c r="C48" s="70">
        <f>'Espesor E2'!C48</f>
        <v>1</v>
      </c>
      <c r="D48" s="70">
        <f>'Espesor E2'!J48</f>
        <v>0.12</v>
      </c>
      <c r="E48" s="70">
        <f>CEILING(IF(TYPE(VLOOKUP(A48,'Espesor Equivalente'!$A$33:$S$52,19,FALSE))=16,D48,VLOOKUP(A48,'Espesor Equivalente'!$A$33:$S$52,19,FALSE)),0.01)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0.2</v>
      </c>
      <c r="K48" s="71">
        <f t="shared" si="4"/>
        <v>0.88280000000000003</v>
      </c>
      <c r="L48" s="71"/>
      <c r="M48" s="14"/>
      <c r="O48" s="17"/>
      <c r="P48" s="16"/>
      <c r="Q48" s="16"/>
      <c r="R48" s="2"/>
    </row>
    <row r="49" spans="1:18" ht="13.5" x14ac:dyDescent="0.25">
      <c r="A49" s="69">
        <f>'Espesor E2'!A49</f>
        <v>41</v>
      </c>
      <c r="B49" s="70">
        <f>'Espesor E2'!B49</f>
        <v>1</v>
      </c>
      <c r="C49" s="70">
        <f>'Espesor E2'!C49</f>
        <v>1</v>
      </c>
      <c r="D49" s="70">
        <f>'Espesor E2'!J49</f>
        <v>0.12</v>
      </c>
      <c r="E49" s="70">
        <f>CEILING(IF(TYPE(VLOOKUP(A49,'Espesor Equivalente'!$A$33:$S$52,19,FALSE))=16,D49,VLOOKUP(A49,'Espesor Equivalente'!$A$33:$S$52,19,FALSE)),0.01)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0.2</v>
      </c>
      <c r="K49" s="71">
        <f t="shared" si="4"/>
        <v>0.88280000000000003</v>
      </c>
      <c r="L49" s="71"/>
      <c r="M49" s="14"/>
      <c r="O49" s="17"/>
      <c r="P49" s="16"/>
      <c r="Q49" s="16"/>
      <c r="R49" s="2"/>
    </row>
    <row r="50" spans="1:18" ht="13.5" x14ac:dyDescent="0.25">
      <c r="A50" s="69">
        <f>'Espesor E2'!A50</f>
        <v>42</v>
      </c>
      <c r="B50" s="70">
        <f>'Espesor E2'!B50</f>
        <v>1</v>
      </c>
      <c r="C50" s="70">
        <f>'Espesor E2'!C50</f>
        <v>1</v>
      </c>
      <c r="D50" s="70">
        <f>'Espesor E2'!J50</f>
        <v>0.12</v>
      </c>
      <c r="E50" s="70">
        <f>CEILING(IF(TYPE(VLOOKUP(A50,'Espesor Equivalente'!$A$33:$S$52,19,FALSE))=16,D50,VLOOKUP(A50,'Espesor Equivalente'!$A$33:$S$52,19,FALSE)),0.01)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0.2</v>
      </c>
      <c r="K50" s="71">
        <f t="shared" si="4"/>
        <v>0.88280000000000003</v>
      </c>
      <c r="L50" s="71"/>
      <c r="M50" s="14"/>
      <c r="O50" s="6"/>
      <c r="P50" s="16"/>
      <c r="Q50" s="16"/>
      <c r="R50" s="2"/>
    </row>
    <row r="51" spans="1:18" ht="13.5" x14ac:dyDescent="0.25">
      <c r="A51" s="69">
        <f>'Espesor E2'!A51</f>
        <v>43</v>
      </c>
      <c r="B51" s="70">
        <f>'Espesor E2'!B51</f>
        <v>1</v>
      </c>
      <c r="C51" s="70">
        <f>'Espesor E2'!C51</f>
        <v>1</v>
      </c>
      <c r="D51" s="70">
        <f>'Espesor E2'!J51</f>
        <v>0.12</v>
      </c>
      <c r="E51" s="70">
        <f>CEILING(IF(TYPE(VLOOKUP(A51,'Espesor Equivalente'!$A$33:$S$52,19,FALSE))=16,D51,VLOOKUP(A51,'Espesor Equivalente'!$A$33:$S$52,19,FALSE)),0.01)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0.2</v>
      </c>
      <c r="K51" s="71">
        <f t="shared" si="4"/>
        <v>0.88280000000000003</v>
      </c>
      <c r="L51" s="71"/>
      <c r="M51" s="14"/>
      <c r="O51" s="17"/>
      <c r="P51" s="16"/>
      <c r="Q51" s="16"/>
      <c r="R51" s="2"/>
    </row>
    <row r="52" spans="1:18" ht="13.5" x14ac:dyDescent="0.25">
      <c r="A52" s="69">
        <f>'Espesor E2'!A52</f>
        <v>44</v>
      </c>
      <c r="B52" s="70">
        <f>'Espesor E2'!B52</f>
        <v>1</v>
      </c>
      <c r="C52" s="70">
        <f>'Espesor E2'!C52</f>
        <v>1</v>
      </c>
      <c r="D52" s="70">
        <f>'Espesor E2'!J52</f>
        <v>0.12</v>
      </c>
      <c r="E52" s="70">
        <f>CEILING(IF(TYPE(VLOOKUP(A52,'Espesor Equivalente'!$A$33:$S$52,19,FALSE))=16,D52,VLOOKUP(A52,'Espesor Equivalente'!$A$33:$S$52,19,FALSE)),0.01)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0.2</v>
      </c>
      <c r="K52" s="71">
        <f t="shared" si="4"/>
        <v>0.88280000000000003</v>
      </c>
      <c r="L52" s="71"/>
      <c r="M52" s="14"/>
      <c r="O52" s="6"/>
      <c r="P52" s="16"/>
      <c r="Q52" s="16"/>
      <c r="R52" s="2"/>
    </row>
    <row r="53" spans="1:18" ht="13.5" x14ac:dyDescent="0.25">
      <c r="A53" s="69">
        <f>'Espesor E2'!A53</f>
        <v>45</v>
      </c>
      <c r="B53" s="70">
        <f>'Espesor E2'!B53</f>
        <v>1</v>
      </c>
      <c r="C53" s="70">
        <f>'Espesor E2'!C53</f>
        <v>1</v>
      </c>
      <c r="D53" s="70">
        <f>'Espesor E2'!J53</f>
        <v>0.12</v>
      </c>
      <c r="E53" s="70">
        <f>CEILING(IF(TYPE(VLOOKUP(A53,'Espesor Equivalente'!$A$33:$S$52,19,FALSE))=16,D53,VLOOKUP(A53,'Espesor Equivalente'!$A$33:$S$52,19,FALSE)),0.01)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0.2</v>
      </c>
      <c r="K53" s="71">
        <f t="shared" si="4"/>
        <v>0.88280000000000003</v>
      </c>
      <c r="L53" s="71"/>
      <c r="M53" s="14"/>
      <c r="O53" s="17"/>
      <c r="P53" s="16"/>
      <c r="Q53" s="16"/>
      <c r="R53" s="2"/>
    </row>
    <row r="54" spans="1:18" ht="13.5" x14ac:dyDescent="0.25">
      <c r="A54" s="69">
        <f>'Espesor E2'!A54</f>
        <v>46</v>
      </c>
      <c r="B54" s="70">
        <f>'Espesor E2'!B54</f>
        <v>1</v>
      </c>
      <c r="C54" s="70">
        <f>'Espesor E2'!C54</f>
        <v>1</v>
      </c>
      <c r="D54" s="70">
        <f>'Espesor E2'!J54</f>
        <v>0.12</v>
      </c>
      <c r="E54" s="70">
        <f>CEILING(IF(TYPE(VLOOKUP(A54,'Espesor Equivalente'!$A$33:$S$52,19,FALSE))=16,D54,VLOOKUP(A54,'Espesor Equivalente'!$A$33:$S$52,19,FALSE)),0.01)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0.2</v>
      </c>
      <c r="K54" s="71">
        <f t="shared" si="4"/>
        <v>0.88280000000000003</v>
      </c>
      <c r="L54" s="71"/>
      <c r="M54" s="14"/>
      <c r="O54" s="6"/>
      <c r="P54" s="16"/>
      <c r="Q54" s="16"/>
      <c r="R54" s="2"/>
    </row>
    <row r="55" spans="1:18" ht="13.5" x14ac:dyDescent="0.25">
      <c r="A55" s="69">
        <f>'Espesor E2'!A55</f>
        <v>47</v>
      </c>
      <c r="B55" s="70">
        <f>'Espesor E2'!B55</f>
        <v>1</v>
      </c>
      <c r="C55" s="70">
        <f>'Espesor E2'!C55</f>
        <v>1</v>
      </c>
      <c r="D55" s="70">
        <f>'Espesor E2'!J55</f>
        <v>0.12</v>
      </c>
      <c r="E55" s="70">
        <f>CEILING(IF(TYPE(VLOOKUP(A55,'Espesor Equivalente'!$A$33:$S$52,19,FALSE))=16,D55,VLOOKUP(A55,'Espesor Equivalente'!$A$33:$S$52,19,FALSE)),0.01)</f>
        <v>0.12</v>
      </c>
      <c r="F55" s="20">
        <f t="shared" si="1"/>
        <v>1</v>
      </c>
      <c r="G55" s="80">
        <f t="shared" si="2"/>
        <v>0</v>
      </c>
      <c r="H55" s="20">
        <f t="shared" si="3"/>
        <v>0</v>
      </c>
      <c r="I55" s="20">
        <f>VLOOKUP(E55,Cargas!$D$8:$G$23,4,TRUE)+H55</f>
        <v>0.46899999999999997</v>
      </c>
      <c r="J55" s="75">
        <f t="shared" si="0"/>
        <v>0.2</v>
      </c>
      <c r="K55" s="71">
        <f t="shared" si="4"/>
        <v>0.88280000000000003</v>
      </c>
      <c r="L55" s="71"/>
      <c r="M55" s="14"/>
      <c r="O55" s="17"/>
      <c r="P55" s="16"/>
      <c r="Q55" s="16"/>
      <c r="R55" s="2"/>
    </row>
    <row r="56" spans="1:18" ht="13.5" x14ac:dyDescent="0.25">
      <c r="A56" s="69">
        <f>'Espesor E2'!A56</f>
        <v>48</v>
      </c>
      <c r="B56" s="70">
        <f>'Espesor E2'!B56</f>
        <v>1</v>
      </c>
      <c r="C56" s="70">
        <f>'Espesor E2'!C56</f>
        <v>1</v>
      </c>
      <c r="D56" s="70">
        <f>'Espesor E2'!J56</f>
        <v>0.12</v>
      </c>
      <c r="E56" s="70">
        <f>CEILING(IF(TYPE(VLOOKUP(A56,'Espesor Equivalente'!$A$33:$S$52,19,FALSE))=16,D56,VLOOKUP(A56,'Espesor Equivalente'!$A$33:$S$52,19,FALSE)),0.01)</f>
        <v>0.12</v>
      </c>
      <c r="F56" s="20">
        <f t="shared" si="1"/>
        <v>1</v>
      </c>
      <c r="G56" s="80">
        <f t="shared" si="2"/>
        <v>0</v>
      </c>
      <c r="H56" s="20">
        <f t="shared" si="3"/>
        <v>0</v>
      </c>
      <c r="I56" s="20">
        <f>VLOOKUP(E56,Cargas!$D$8:$G$23,4,TRUE)+H56</f>
        <v>0.46899999999999997</v>
      </c>
      <c r="J56" s="75">
        <f t="shared" si="0"/>
        <v>0.2</v>
      </c>
      <c r="K56" s="71">
        <f t="shared" si="4"/>
        <v>0.88280000000000003</v>
      </c>
      <c r="L56" s="71"/>
      <c r="M56" s="14"/>
      <c r="O56" s="17"/>
      <c r="P56" s="16"/>
      <c r="Q56" s="16"/>
      <c r="R56" s="2"/>
    </row>
    <row r="57" spans="1:18" ht="13.5" x14ac:dyDescent="0.25">
      <c r="A57" s="69">
        <f>'Espesor E2'!A57</f>
        <v>49</v>
      </c>
      <c r="B57" s="70">
        <f>'Espesor E2'!B57</f>
        <v>1</v>
      </c>
      <c r="C57" s="70">
        <f>'Espesor E2'!C57</f>
        <v>1</v>
      </c>
      <c r="D57" s="70">
        <f>'Espesor E2'!J57</f>
        <v>0.12</v>
      </c>
      <c r="E57" s="70">
        <f>CEILING(IF(TYPE(VLOOKUP(A57,'Espesor Equivalente'!$A$33:$S$52,19,FALSE))=16,D57,VLOOKUP(A57,'Espesor Equivalente'!$A$33:$S$52,19,FALSE)),0.01)</f>
        <v>0.12</v>
      </c>
      <c r="F57" s="20">
        <f t="shared" si="1"/>
        <v>1</v>
      </c>
      <c r="G57" s="80">
        <f t="shared" si="2"/>
        <v>0</v>
      </c>
      <c r="H57" s="20">
        <f t="shared" si="3"/>
        <v>0</v>
      </c>
      <c r="I57" s="20">
        <f>VLOOKUP(E57,Cargas!$D$8:$G$23,4,TRUE)+H57</f>
        <v>0.46899999999999997</v>
      </c>
      <c r="J57" s="75">
        <f t="shared" si="0"/>
        <v>0.2</v>
      </c>
      <c r="K57" s="71">
        <f t="shared" si="4"/>
        <v>0.88280000000000003</v>
      </c>
      <c r="L57" s="71"/>
      <c r="M57" s="14"/>
      <c r="O57" s="17"/>
      <c r="P57" s="16"/>
      <c r="Q57" s="16"/>
      <c r="R57" s="2"/>
    </row>
    <row r="58" spans="1:18" ht="13.5" x14ac:dyDescent="0.25">
      <c r="A58" s="69">
        <f>'Espesor E2'!A58</f>
        <v>50</v>
      </c>
      <c r="B58" s="70">
        <f>'Espesor E2'!B58</f>
        <v>1</v>
      </c>
      <c r="C58" s="70">
        <f>'Espesor E2'!C58</f>
        <v>1</v>
      </c>
      <c r="D58" s="70">
        <f>'Espesor E2'!J58</f>
        <v>0.12</v>
      </c>
      <c r="E58" s="70">
        <f>CEILING(IF(TYPE(VLOOKUP(A58,'Espesor Equivalente'!$A$33:$S$52,19,FALSE))=16,D58,VLOOKUP(A58,'Espesor Equivalente'!$A$33:$S$52,19,FALSE)),0.01)</f>
        <v>0.12</v>
      </c>
      <c r="F58" s="20">
        <f t="shared" si="1"/>
        <v>1</v>
      </c>
      <c r="G58" s="80">
        <f t="shared" si="2"/>
        <v>0</v>
      </c>
      <c r="H58" s="20">
        <f t="shared" si="3"/>
        <v>0</v>
      </c>
      <c r="I58" s="20">
        <f>VLOOKUP(E58,Cargas!$D$8:$G$23,4,TRUE)+H58</f>
        <v>0.46899999999999997</v>
      </c>
      <c r="J58" s="75">
        <f t="shared" si="0"/>
        <v>0.2</v>
      </c>
      <c r="K58" s="71">
        <f t="shared" si="4"/>
        <v>0.88280000000000003</v>
      </c>
      <c r="L58" s="71"/>
      <c r="M58" s="14"/>
      <c r="O58" s="17"/>
      <c r="P58" s="16"/>
      <c r="Q58" s="16"/>
      <c r="R58" s="2"/>
    </row>
    <row r="59" spans="1:18" ht="13.5" x14ac:dyDescent="0.25">
      <c r="I59" s="74">
        <f>AVERAGE(I9:I58)</f>
        <v>0.46900000000000019</v>
      </c>
      <c r="J59" s="74">
        <f>AVERAGE(J9:J58)</f>
        <v>0.19999999999999993</v>
      </c>
    </row>
  </sheetData>
  <mergeCells count="10">
    <mergeCell ref="R11:S11"/>
    <mergeCell ref="B2:E2"/>
    <mergeCell ref="F2:G2"/>
    <mergeCell ref="H2:J2"/>
    <mergeCell ref="B3:E3"/>
    <mergeCell ref="F3:G3"/>
    <mergeCell ref="H3:J3"/>
    <mergeCell ref="K3:K4"/>
    <mergeCell ref="G4:J4"/>
    <mergeCell ref="M6:P7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18A0-45E0-46DB-B59B-483BAAD21D2E}">
  <sheetPr codeName="Hoja21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E3</v>
      </c>
    </row>
    <row r="2" spans="1:19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E3'!G2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E3</v>
      </c>
    </row>
    <row r="3" spans="1:19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E3'!J3:J4</f>
        <v>2</v>
      </c>
      <c r="L3" s="93"/>
    </row>
    <row r="4" spans="1:19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>Carga de Losas  E3</v>
      </c>
      <c r="H4" s="224"/>
      <c r="I4" s="224"/>
      <c r="J4" s="225"/>
      <c r="K4" s="203"/>
      <c r="L4" s="93"/>
    </row>
    <row r="5" spans="1:19" ht="13.5" x14ac:dyDescent="0.25">
      <c r="A5" s="61"/>
      <c r="B5" s="1"/>
      <c r="C5" s="1"/>
      <c r="D5" s="1"/>
      <c r="E5" s="1"/>
      <c r="F5" s="61"/>
      <c r="G5" s="61"/>
      <c r="H5" s="61"/>
      <c r="I5" s="61"/>
      <c r="J5" s="61"/>
      <c r="K5" s="61"/>
      <c r="L5" s="3"/>
    </row>
    <row r="6" spans="1:19" ht="13.5" x14ac:dyDescent="0.25">
      <c r="A6" s="19" t="s">
        <v>53</v>
      </c>
      <c r="B6" s="62">
        <f>COUNT(A9:A58)</f>
        <v>50</v>
      </c>
      <c r="C6" s="19" t="s">
        <v>42</v>
      </c>
      <c r="D6" s="1">
        <f>'Espesor E3'!D6</f>
        <v>4200</v>
      </c>
      <c r="E6" s="63">
        <f>'Espesor Earlette'!D6</f>
        <v>4200</v>
      </c>
      <c r="F6" s="61" t="s">
        <v>43</v>
      </c>
      <c r="G6" s="1"/>
      <c r="H6" s="1"/>
      <c r="I6" s="61"/>
      <c r="J6" s="61"/>
      <c r="K6" s="61"/>
      <c r="L6" s="3"/>
      <c r="M6" s="230" t="s">
        <v>119</v>
      </c>
      <c r="N6" s="230"/>
      <c r="O6" s="230"/>
      <c r="P6" s="230"/>
    </row>
    <row r="7" spans="1:19" ht="14.25" thickBot="1" x14ac:dyDescent="0.3">
      <c r="A7" s="1"/>
      <c r="B7" s="1"/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L7" s="61"/>
      <c r="M7" s="230"/>
      <c r="N7" s="230"/>
      <c r="O7" s="230"/>
      <c r="P7" s="230"/>
    </row>
    <row r="8" spans="1:19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109</v>
      </c>
      <c r="G8" s="66" t="s">
        <v>56</v>
      </c>
      <c r="H8" s="66" t="s">
        <v>110</v>
      </c>
      <c r="I8" s="66" t="s">
        <v>111</v>
      </c>
      <c r="J8" s="67" t="s">
        <v>112</v>
      </c>
      <c r="K8" s="68" t="s">
        <v>113</v>
      </c>
      <c r="L8" s="91"/>
      <c r="M8" s="91" t="s">
        <v>120</v>
      </c>
      <c r="N8" s="85">
        <v>20</v>
      </c>
      <c r="O8" s="85">
        <v>15</v>
      </c>
      <c r="P8" s="85">
        <v>10</v>
      </c>
    </row>
    <row r="9" spans="1:19" ht="13.5" x14ac:dyDescent="0.25">
      <c r="A9" s="69">
        <f>'Espesor E3'!A9</f>
        <v>1</v>
      </c>
      <c r="B9" s="70">
        <f>'Espesor E3'!B9</f>
        <v>1</v>
      </c>
      <c r="C9" s="70">
        <f>'Espesor E3'!C9</f>
        <v>1</v>
      </c>
      <c r="D9" s="70">
        <f>'Espesor E3'!J9</f>
        <v>0.12</v>
      </c>
      <c r="E9" s="70">
        <f>CEILING(IF(TYPE(VLOOKUP(A9,'Espesor Equivalente'!$A$54:$S$73,19,FALSE))=16,D9,VLOOKUP(A9,'Espesor Equivalente'!$A$54:$S$73,19,FALSE)),0.01)</f>
        <v>0.12</v>
      </c>
      <c r="F9" s="20">
        <f>B9*C9</f>
        <v>1</v>
      </c>
      <c r="G9" s="80">
        <f>1.8*IF(M9=0,2.8-D9,M9-D9)*(0.2*N9+0.15*O9+0.1*P9)</f>
        <v>0</v>
      </c>
      <c r="H9" s="20">
        <f>IF(G9=0,0,MAX(0.1,G9/F9))</f>
        <v>0</v>
      </c>
      <c r="I9" s="20">
        <f>VLOOKUP(E9,Cargas!$D$8:$G$23,4,TRUE)+H9</f>
        <v>0.46899999999999997</v>
      </c>
      <c r="J9" s="75">
        <f t="shared" ref="J9:J58" si="0">qle</f>
        <v>0.2</v>
      </c>
      <c r="K9" s="71">
        <f>$I$7*I9+$J$7*J9</f>
        <v>0.88280000000000003</v>
      </c>
      <c r="L9" s="71"/>
      <c r="M9" s="14"/>
    </row>
    <row r="10" spans="1:19" ht="13.5" x14ac:dyDescent="0.25">
      <c r="A10" s="69">
        <f>'Espesor E3'!A10</f>
        <v>2</v>
      </c>
      <c r="B10" s="70">
        <f>'Espesor E3'!B10</f>
        <v>1</v>
      </c>
      <c r="C10" s="70">
        <f>'Espesor E3'!C10</f>
        <v>1</v>
      </c>
      <c r="D10" s="70">
        <f>'Espesor E3'!J10</f>
        <v>0.12</v>
      </c>
      <c r="E10" s="70">
        <f>CEILING(IF(TYPE(VLOOKUP(A10,'Espesor Equivalente'!$A$54:$S$73,19,FALSE))=16,D10,VLOOKUP(A10,'Espesor Equivalente'!$A$54:$S$73,19,FALSE)),0.01)</f>
        <v>0.12</v>
      </c>
      <c r="F10" s="20">
        <f t="shared" ref="F10:F58" si="1">B10*C10</f>
        <v>1</v>
      </c>
      <c r="G10" s="80">
        <f t="shared" ref="G10:G58" si="2">1.8*IF(M10=0,2.8-D10,M10-D10)*(0.2*N10+0.15*O10+0.1*P10)</f>
        <v>0</v>
      </c>
      <c r="H10" s="20">
        <f t="shared" ref="H10:H58" si="3">IF(G10=0,0,MAX(0.1,G10/F10))</f>
        <v>0</v>
      </c>
      <c r="I10" s="20">
        <f>VLOOKUP(E10,Cargas!$D$8:$G$23,4,TRUE)+H10</f>
        <v>0.46899999999999997</v>
      </c>
      <c r="J10" s="75">
        <f t="shared" si="0"/>
        <v>0.2</v>
      </c>
      <c r="K10" s="71">
        <f t="shared" ref="K10:K58" si="4">$I$7*I10+$J$7*J10</f>
        <v>0.88280000000000003</v>
      </c>
      <c r="L10" s="71"/>
      <c r="M10" s="14"/>
    </row>
    <row r="11" spans="1:19" ht="13.5" x14ac:dyDescent="0.25">
      <c r="A11" s="69">
        <f>'Espesor E3'!A11</f>
        <v>3</v>
      </c>
      <c r="B11" s="70">
        <f>'Espesor E3'!B11</f>
        <v>1</v>
      </c>
      <c r="C11" s="70">
        <f>'Espesor E3'!C11</f>
        <v>1</v>
      </c>
      <c r="D11" s="70">
        <f>'Espesor E3'!J11</f>
        <v>0.12</v>
      </c>
      <c r="E11" s="70">
        <f>CEILING(IF(TYPE(VLOOKUP(A11,'Espesor Equivalente'!$A$54:$S$73,19,FALSE))=16,D11,VLOOKUP(A11,'Espesor Equivalente'!$A$54:$S$73,19,FALSE)),0.01)</f>
        <v>0.12</v>
      </c>
      <c r="F11" s="20">
        <f t="shared" si="1"/>
        <v>1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0.2</v>
      </c>
      <c r="K11" s="71">
        <f t="shared" si="4"/>
        <v>0.88280000000000003</v>
      </c>
      <c r="L11" s="71"/>
      <c r="M11" s="14"/>
      <c r="Q11" s="16"/>
      <c r="R11" s="231"/>
      <c r="S11" s="231"/>
    </row>
    <row r="12" spans="1:19" ht="13.5" x14ac:dyDescent="0.25">
      <c r="A12" s="69">
        <f>'Espesor E3'!A12</f>
        <v>4</v>
      </c>
      <c r="B12" s="70">
        <f>'Espesor E3'!B12</f>
        <v>1</v>
      </c>
      <c r="C12" s="70">
        <f>'Espesor E3'!C12</f>
        <v>1</v>
      </c>
      <c r="D12" s="70">
        <f>'Espesor E3'!J12</f>
        <v>0.12</v>
      </c>
      <c r="E12" s="70">
        <f>CEILING(IF(TYPE(VLOOKUP(A12,'Espesor Equivalente'!$A$54:$S$73,19,FALSE))=16,D12,VLOOKUP(A12,'Espesor Equivalente'!$A$54:$S$73,19,FALSE)),0.01)</f>
        <v>0.12</v>
      </c>
      <c r="F12" s="20">
        <f t="shared" si="1"/>
        <v>1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0.2</v>
      </c>
      <c r="K12" s="71">
        <f t="shared" si="4"/>
        <v>0.88280000000000003</v>
      </c>
      <c r="L12" s="71"/>
      <c r="M12" s="14"/>
      <c r="O12" s="6"/>
      <c r="P12" s="6"/>
      <c r="Q12" s="6"/>
      <c r="R12" s="6"/>
      <c r="S12" s="6"/>
    </row>
    <row r="13" spans="1:19" ht="13.5" x14ac:dyDescent="0.25">
      <c r="A13" s="69">
        <f>'Espesor E3'!A13</f>
        <v>5</v>
      </c>
      <c r="B13" s="70">
        <f>'Espesor E3'!B13</f>
        <v>1</v>
      </c>
      <c r="C13" s="70">
        <f>'Espesor E3'!C13</f>
        <v>1</v>
      </c>
      <c r="D13" s="70">
        <f>'Espesor E3'!J13</f>
        <v>0.12</v>
      </c>
      <c r="E13" s="70">
        <f>CEILING(IF(TYPE(VLOOKUP(A13,'Espesor Equivalente'!$A$54:$S$73,19,FALSE))=16,D13,VLOOKUP(A13,'Espesor Equivalente'!$A$54:$S$73,19,FALSE)),0.01)</f>
        <v>0.12</v>
      </c>
      <c r="F13" s="20">
        <f t="shared" si="1"/>
        <v>1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0.2</v>
      </c>
      <c r="K13" s="71">
        <f t="shared" si="4"/>
        <v>0.88280000000000003</v>
      </c>
      <c r="L13" s="71"/>
      <c r="M13" s="14"/>
      <c r="O13" s="6"/>
      <c r="P13" s="16"/>
      <c r="Q13" s="16"/>
      <c r="R13" s="2"/>
    </row>
    <row r="14" spans="1:19" ht="13.5" x14ac:dyDescent="0.25">
      <c r="A14" s="69">
        <f>'Espesor E3'!A14</f>
        <v>6</v>
      </c>
      <c r="B14" s="70">
        <f>'Espesor E3'!B14</f>
        <v>1</v>
      </c>
      <c r="C14" s="70">
        <f>'Espesor E3'!C14</f>
        <v>1</v>
      </c>
      <c r="D14" s="70">
        <f>'Espesor E3'!J14</f>
        <v>0.12</v>
      </c>
      <c r="E14" s="70">
        <f>CEILING(IF(TYPE(VLOOKUP(A14,'Espesor Equivalente'!$A$54:$S$73,19,FALSE))=16,D14,VLOOKUP(A14,'Espesor Equivalente'!$A$54:$S$73,19,FALSE)),0.01)</f>
        <v>0.12</v>
      </c>
      <c r="F14" s="20">
        <f t="shared" si="1"/>
        <v>1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0.2</v>
      </c>
      <c r="K14" s="71">
        <f t="shared" si="4"/>
        <v>0.88280000000000003</v>
      </c>
      <c r="L14" s="71"/>
      <c r="M14" s="14"/>
      <c r="O14" s="17"/>
      <c r="P14" s="16"/>
      <c r="Q14" s="16"/>
      <c r="R14" s="2"/>
    </row>
    <row r="15" spans="1:19" ht="13.5" x14ac:dyDescent="0.25">
      <c r="A15" s="69">
        <f>'Espesor E3'!A15</f>
        <v>7</v>
      </c>
      <c r="B15" s="70">
        <f>'Espesor E3'!B15</f>
        <v>1</v>
      </c>
      <c r="C15" s="70">
        <f>'Espesor E3'!C15</f>
        <v>1</v>
      </c>
      <c r="D15" s="70">
        <f>'Espesor E3'!J15</f>
        <v>0.12</v>
      </c>
      <c r="E15" s="70">
        <f>CEILING(IF(TYPE(VLOOKUP(A15,'Espesor Equivalente'!$A$54:$S$73,19,FALSE))=16,D15,VLOOKUP(A15,'Espesor Equivalente'!$A$54:$S$73,19,FALSE)),0.01)</f>
        <v>0.12</v>
      </c>
      <c r="F15" s="20">
        <f t="shared" si="1"/>
        <v>1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0.46899999999999997</v>
      </c>
      <c r="J15" s="75">
        <f t="shared" si="0"/>
        <v>0.2</v>
      </c>
      <c r="K15" s="71">
        <f t="shared" si="4"/>
        <v>0.88280000000000003</v>
      </c>
      <c r="L15" s="71"/>
      <c r="M15" s="14"/>
      <c r="O15" s="17"/>
      <c r="P15" s="16"/>
      <c r="Q15" s="16"/>
      <c r="R15" s="2"/>
    </row>
    <row r="16" spans="1:19" ht="13.5" x14ac:dyDescent="0.25">
      <c r="A16" s="69">
        <f>'Espesor E3'!A16</f>
        <v>8</v>
      </c>
      <c r="B16" s="70">
        <f>'Espesor E3'!B16</f>
        <v>1</v>
      </c>
      <c r="C16" s="70">
        <f>'Espesor E3'!C16</f>
        <v>1</v>
      </c>
      <c r="D16" s="70">
        <f>'Espesor E3'!J16</f>
        <v>0.12</v>
      </c>
      <c r="E16" s="70">
        <f>CEILING(IF(TYPE(VLOOKUP(A16,'Espesor Equivalente'!$A$54:$S$73,19,FALSE))=16,D16,VLOOKUP(A16,'Espesor Equivalente'!$A$54:$S$73,19,FALSE)),0.01)</f>
        <v>0.12</v>
      </c>
      <c r="F16" s="20">
        <f t="shared" si="1"/>
        <v>1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0.2</v>
      </c>
      <c r="K16" s="71">
        <f t="shared" si="4"/>
        <v>0.88280000000000003</v>
      </c>
      <c r="L16" s="71"/>
      <c r="M16" s="14"/>
      <c r="O16" s="17"/>
      <c r="P16" s="16"/>
      <c r="Q16" s="16"/>
      <c r="R16" s="2"/>
    </row>
    <row r="17" spans="1:18" ht="13.5" x14ac:dyDescent="0.25">
      <c r="A17" s="69">
        <f>'Espesor E3'!A17</f>
        <v>9</v>
      </c>
      <c r="B17" s="70">
        <f>'Espesor E3'!B17</f>
        <v>1</v>
      </c>
      <c r="C17" s="70">
        <f>'Espesor E3'!C17</f>
        <v>1</v>
      </c>
      <c r="D17" s="70">
        <f>'Espesor E3'!J17</f>
        <v>0.12</v>
      </c>
      <c r="E17" s="70">
        <f>CEILING(IF(TYPE(VLOOKUP(A17,'Espesor Equivalente'!$A$54:$S$73,19,FALSE))=16,D17,VLOOKUP(A17,'Espesor Equivalente'!$A$54:$S$73,19,FALSE)),0.01)</f>
        <v>0.12</v>
      </c>
      <c r="F17" s="20">
        <f t="shared" si="1"/>
        <v>1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0.2</v>
      </c>
      <c r="K17" s="71">
        <f t="shared" si="4"/>
        <v>0.88280000000000003</v>
      </c>
      <c r="L17" s="71"/>
      <c r="M17" s="14"/>
      <c r="O17" s="17"/>
      <c r="P17" s="16"/>
      <c r="Q17" s="16"/>
      <c r="R17" s="2"/>
    </row>
    <row r="18" spans="1:18" ht="13.5" x14ac:dyDescent="0.25">
      <c r="A18" s="69">
        <f>'Espesor E3'!A18</f>
        <v>10</v>
      </c>
      <c r="B18" s="70">
        <f>'Espesor E3'!B18</f>
        <v>1</v>
      </c>
      <c r="C18" s="70">
        <f>'Espesor E3'!C18</f>
        <v>1</v>
      </c>
      <c r="D18" s="70">
        <f>'Espesor E3'!J18</f>
        <v>0.12</v>
      </c>
      <c r="E18" s="70">
        <f>CEILING(IF(TYPE(VLOOKUP(A18,'Espesor Equivalente'!$A$54:$S$73,19,FALSE))=16,D18,VLOOKUP(A18,'Espesor Equivalente'!$A$54:$S$73,19,FALSE)),0.01)</f>
        <v>0.12</v>
      </c>
      <c r="F18" s="20">
        <f t="shared" si="1"/>
        <v>1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0.2</v>
      </c>
      <c r="K18" s="71">
        <f t="shared" si="4"/>
        <v>0.88280000000000003</v>
      </c>
      <c r="L18" s="71"/>
      <c r="M18" s="14"/>
      <c r="O18" s="17"/>
      <c r="P18" s="16"/>
      <c r="Q18" s="16"/>
      <c r="R18" s="2"/>
    </row>
    <row r="19" spans="1:18" ht="13.5" x14ac:dyDescent="0.25">
      <c r="A19" s="69">
        <f>'Espesor E3'!A19</f>
        <v>11</v>
      </c>
      <c r="B19" s="70">
        <f>'Espesor E3'!B19</f>
        <v>1</v>
      </c>
      <c r="C19" s="70">
        <f>'Espesor E3'!C19</f>
        <v>1</v>
      </c>
      <c r="D19" s="70">
        <f>'Espesor E3'!J19</f>
        <v>0.12</v>
      </c>
      <c r="E19" s="70">
        <f>CEILING(IF(TYPE(VLOOKUP(A19,'Espesor Equivalente'!$A$54:$S$73,19,FALSE))=16,D19,VLOOKUP(A19,'Espesor Equivalente'!$A$54:$S$73,19,FALSE)),0.01)</f>
        <v>0.12</v>
      </c>
      <c r="F19" s="20">
        <f t="shared" si="1"/>
        <v>1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0.2</v>
      </c>
      <c r="K19" s="71">
        <f t="shared" si="4"/>
        <v>0.88280000000000003</v>
      </c>
      <c r="L19" s="71"/>
      <c r="M19" s="14"/>
      <c r="O19" s="17"/>
      <c r="P19" s="16"/>
      <c r="Q19" s="16"/>
      <c r="R19" s="2"/>
    </row>
    <row r="20" spans="1:18" ht="13.5" x14ac:dyDescent="0.25">
      <c r="A20" s="69">
        <f>'Espesor E3'!A20</f>
        <v>12</v>
      </c>
      <c r="B20" s="70">
        <f>'Espesor E3'!B20</f>
        <v>1</v>
      </c>
      <c r="C20" s="70">
        <f>'Espesor E3'!C20</f>
        <v>1</v>
      </c>
      <c r="D20" s="70">
        <f>'Espesor E3'!J20</f>
        <v>0.12</v>
      </c>
      <c r="E20" s="70">
        <f>CEILING(IF(TYPE(VLOOKUP(A20,'Espesor Equivalente'!$A$54:$S$73,19,FALSE))=16,D20,VLOOKUP(A20,'Espesor Equivalente'!$A$54:$S$73,19,FALSE)),0.01)</f>
        <v>0.12</v>
      </c>
      <c r="F20" s="20">
        <f t="shared" si="1"/>
        <v>1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0.2</v>
      </c>
      <c r="K20" s="71">
        <f t="shared" si="4"/>
        <v>0.88280000000000003</v>
      </c>
      <c r="L20" s="71"/>
      <c r="M20" s="14"/>
      <c r="O20" s="17"/>
      <c r="P20" s="16"/>
      <c r="Q20" s="16"/>
      <c r="R20" s="2"/>
    </row>
    <row r="21" spans="1:18" ht="13.5" x14ac:dyDescent="0.25">
      <c r="A21" s="69">
        <f>'Espesor E3'!A21</f>
        <v>13</v>
      </c>
      <c r="B21" s="70">
        <f>'Espesor E3'!B21</f>
        <v>1</v>
      </c>
      <c r="C21" s="70">
        <f>'Espesor E3'!C21</f>
        <v>1</v>
      </c>
      <c r="D21" s="70">
        <f>'Espesor E3'!J21</f>
        <v>0.12</v>
      </c>
      <c r="E21" s="70">
        <f>CEILING(IF(TYPE(VLOOKUP(A21,'Espesor Equivalente'!$A$54:$S$73,19,FALSE))=16,D21,VLOOKUP(A21,'Espesor Equivalente'!$A$54:$S$73,19,FALSE)),0.01)</f>
        <v>0.12</v>
      </c>
      <c r="F21" s="20">
        <f t="shared" si="1"/>
        <v>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0.2</v>
      </c>
      <c r="K21" s="71">
        <f t="shared" si="4"/>
        <v>0.88280000000000003</v>
      </c>
      <c r="L21" s="71"/>
      <c r="M21" s="14"/>
      <c r="O21" s="17"/>
      <c r="P21" s="16"/>
      <c r="Q21" s="16"/>
      <c r="R21" s="2"/>
    </row>
    <row r="22" spans="1:18" ht="13.5" x14ac:dyDescent="0.25">
      <c r="A22" s="69">
        <f>'Espesor E3'!A22</f>
        <v>14</v>
      </c>
      <c r="B22" s="70">
        <f>'Espesor E3'!B22</f>
        <v>1</v>
      </c>
      <c r="C22" s="70">
        <f>'Espesor E3'!C22</f>
        <v>1</v>
      </c>
      <c r="D22" s="70">
        <f>'Espesor E3'!J22</f>
        <v>0.12</v>
      </c>
      <c r="E22" s="70">
        <f>CEILING(IF(TYPE(VLOOKUP(A22,'Espesor Equivalente'!$A$54:$S$73,19,FALSE))=16,D22,VLOOKUP(A22,'Espesor Equivalente'!$A$54:$S$73,19,FALSE)),0.01)</f>
        <v>0.12</v>
      </c>
      <c r="F22" s="20">
        <f t="shared" si="1"/>
        <v>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0.2</v>
      </c>
      <c r="K22" s="71">
        <f t="shared" si="4"/>
        <v>0.88280000000000003</v>
      </c>
      <c r="L22" s="71"/>
      <c r="M22" s="14"/>
      <c r="O22" s="17"/>
      <c r="P22" s="16"/>
      <c r="Q22" s="16"/>
      <c r="R22" s="2"/>
    </row>
    <row r="23" spans="1:18" ht="13.5" x14ac:dyDescent="0.25">
      <c r="A23" s="69">
        <f>'Espesor E3'!A23</f>
        <v>15</v>
      </c>
      <c r="B23" s="70">
        <f>'Espesor E3'!B23</f>
        <v>1</v>
      </c>
      <c r="C23" s="70">
        <f>'Espesor E3'!C23</f>
        <v>1</v>
      </c>
      <c r="D23" s="70">
        <f>'Espesor E3'!J23</f>
        <v>0.12</v>
      </c>
      <c r="E23" s="70">
        <f>CEILING(IF(TYPE(VLOOKUP(A23,'Espesor Equivalente'!$A$54:$S$73,19,FALSE))=16,D23,VLOOKUP(A23,'Espesor Equivalente'!$A$54:$S$73,19,FALSE)),0.01)</f>
        <v>0.12</v>
      </c>
      <c r="F23" s="20">
        <f t="shared" si="1"/>
        <v>1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0.2</v>
      </c>
      <c r="K23" s="71">
        <f t="shared" si="4"/>
        <v>0.88280000000000003</v>
      </c>
      <c r="L23" s="71"/>
      <c r="M23" s="14"/>
      <c r="O23" s="17"/>
      <c r="P23" s="16"/>
      <c r="Q23" s="16"/>
      <c r="R23" s="2"/>
    </row>
    <row r="24" spans="1:18" ht="13.5" x14ac:dyDescent="0.25">
      <c r="A24" s="69">
        <f>'Espesor E3'!A24</f>
        <v>16</v>
      </c>
      <c r="B24" s="70">
        <f>'Espesor E3'!B24</f>
        <v>1</v>
      </c>
      <c r="C24" s="70">
        <f>'Espesor E3'!C24</f>
        <v>1</v>
      </c>
      <c r="D24" s="70">
        <f>'Espesor E3'!J24</f>
        <v>0.12</v>
      </c>
      <c r="E24" s="70">
        <f>CEILING(IF(TYPE(VLOOKUP(A24,'Espesor Equivalente'!$A$54:$S$73,19,FALSE))=16,D24,VLOOKUP(A24,'Espesor Equivalente'!$A$54:$S$73,19,FALSE)),0.01)</f>
        <v>0.12</v>
      </c>
      <c r="F24" s="20">
        <f t="shared" si="1"/>
        <v>1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0.2</v>
      </c>
      <c r="K24" s="71">
        <f t="shared" si="4"/>
        <v>0.88280000000000003</v>
      </c>
      <c r="L24" s="71"/>
      <c r="M24" s="14"/>
      <c r="O24" s="17"/>
      <c r="P24" s="16"/>
      <c r="Q24" s="16"/>
      <c r="R24" s="2"/>
    </row>
    <row r="25" spans="1:18" ht="13.5" x14ac:dyDescent="0.25">
      <c r="A25" s="69">
        <f>'Espesor E3'!A25</f>
        <v>17</v>
      </c>
      <c r="B25" s="70">
        <f>'Espesor E3'!B25</f>
        <v>1</v>
      </c>
      <c r="C25" s="70">
        <f>'Espesor E3'!C25</f>
        <v>1</v>
      </c>
      <c r="D25" s="70">
        <f>'Espesor E3'!J25</f>
        <v>0.12</v>
      </c>
      <c r="E25" s="70">
        <f>CEILING(IF(TYPE(VLOOKUP(A25,'Espesor Equivalente'!$A$54:$S$73,19,FALSE))=16,D25,VLOOKUP(A25,'Espesor Equivalente'!$A$54:$S$73,19,FALSE)),0.01)</f>
        <v>0.12</v>
      </c>
      <c r="F25" s="20">
        <f t="shared" si="1"/>
        <v>1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0.2</v>
      </c>
      <c r="K25" s="71">
        <f t="shared" si="4"/>
        <v>0.88280000000000003</v>
      </c>
      <c r="L25" s="71"/>
      <c r="M25" s="14"/>
      <c r="O25" s="17"/>
      <c r="P25" s="16"/>
      <c r="Q25" s="16"/>
      <c r="R25" s="2"/>
    </row>
    <row r="26" spans="1:18" ht="13.5" x14ac:dyDescent="0.25">
      <c r="A26" s="69">
        <f>'Espesor E3'!A26</f>
        <v>18</v>
      </c>
      <c r="B26" s="70">
        <f>'Espesor E3'!B26</f>
        <v>1</v>
      </c>
      <c r="C26" s="70">
        <f>'Espesor E3'!C26</f>
        <v>1</v>
      </c>
      <c r="D26" s="70">
        <f>'Espesor E3'!J26</f>
        <v>0.12</v>
      </c>
      <c r="E26" s="70">
        <f>CEILING(IF(TYPE(VLOOKUP(A26,'Espesor Equivalente'!$A$54:$S$73,19,FALSE))=16,D26,VLOOKUP(A26,'Espesor Equivalente'!$A$54:$S$73,19,FALSE)),0.01)</f>
        <v>0.12</v>
      </c>
      <c r="F26" s="20">
        <f t="shared" si="1"/>
        <v>1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0.2</v>
      </c>
      <c r="K26" s="71">
        <f t="shared" si="4"/>
        <v>0.88280000000000003</v>
      </c>
      <c r="L26" s="71"/>
      <c r="M26" s="14"/>
      <c r="O26" s="17"/>
      <c r="P26" s="16"/>
      <c r="Q26" s="16"/>
      <c r="R26" s="2"/>
    </row>
    <row r="27" spans="1:18" ht="13.5" x14ac:dyDescent="0.25">
      <c r="A27" s="69">
        <f>'Espesor E3'!A27</f>
        <v>19</v>
      </c>
      <c r="B27" s="70">
        <f>'Espesor E3'!B27</f>
        <v>1</v>
      </c>
      <c r="C27" s="70">
        <f>'Espesor E3'!C27</f>
        <v>1</v>
      </c>
      <c r="D27" s="70">
        <f>'Espesor E3'!J27</f>
        <v>0.12</v>
      </c>
      <c r="E27" s="70">
        <f>CEILING(IF(TYPE(VLOOKUP(A27,'Espesor Equivalente'!$A$54:$S$73,19,FALSE))=16,D27,VLOOKUP(A27,'Espesor Equivalente'!$A$54:$S$73,19,FALSE)),0.01)</f>
        <v>0.12</v>
      </c>
      <c r="F27" s="20">
        <f t="shared" si="1"/>
        <v>1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0.2</v>
      </c>
      <c r="K27" s="71">
        <f t="shared" si="4"/>
        <v>0.88280000000000003</v>
      </c>
      <c r="L27" s="71"/>
      <c r="M27" s="14"/>
      <c r="O27" s="17"/>
      <c r="P27" s="16"/>
      <c r="Q27" s="16"/>
      <c r="R27" s="2"/>
    </row>
    <row r="28" spans="1:18" ht="13.5" x14ac:dyDescent="0.25">
      <c r="A28" s="69">
        <f>'Espesor E3'!A28</f>
        <v>20</v>
      </c>
      <c r="B28" s="70">
        <f>'Espesor E3'!B28</f>
        <v>1</v>
      </c>
      <c r="C28" s="70">
        <f>'Espesor E3'!C28</f>
        <v>1</v>
      </c>
      <c r="D28" s="70">
        <f>'Espesor E3'!J28</f>
        <v>0.12</v>
      </c>
      <c r="E28" s="70">
        <f>CEILING(IF(TYPE(VLOOKUP(A28,'Espesor Equivalente'!$A$54:$S$73,19,FALSE))=16,D28,VLOOKUP(A28,'Espesor Equivalente'!$A$54:$S$73,19,FALSE)),0.01)</f>
        <v>0.12</v>
      </c>
      <c r="F28" s="20">
        <f t="shared" si="1"/>
        <v>1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0.2</v>
      </c>
      <c r="K28" s="71">
        <f t="shared" si="4"/>
        <v>0.88280000000000003</v>
      </c>
      <c r="L28" s="71"/>
      <c r="M28" s="14"/>
      <c r="O28" s="17"/>
      <c r="P28" s="16"/>
      <c r="Q28" s="16"/>
      <c r="R28" s="2"/>
    </row>
    <row r="29" spans="1:18" ht="13.5" x14ac:dyDescent="0.25">
      <c r="A29" s="69">
        <f>'Espesor E3'!A29</f>
        <v>21</v>
      </c>
      <c r="B29" s="70">
        <f>'Espesor E3'!B29</f>
        <v>1</v>
      </c>
      <c r="C29" s="70">
        <f>'Espesor E3'!C29</f>
        <v>1</v>
      </c>
      <c r="D29" s="70">
        <f>'Espesor E3'!J29</f>
        <v>0.12</v>
      </c>
      <c r="E29" s="70">
        <f>CEILING(IF(TYPE(VLOOKUP(A29,'Espesor Equivalente'!$A$54:$S$73,19,FALSE))=16,D29,VLOOKUP(A29,'Espesor Equivalente'!$A$54:$S$73,19,FALSE)),0.01)</f>
        <v>0.12</v>
      </c>
      <c r="F29" s="20">
        <f t="shared" si="1"/>
        <v>1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0.2</v>
      </c>
      <c r="K29" s="71">
        <f t="shared" si="4"/>
        <v>0.88280000000000003</v>
      </c>
      <c r="L29" s="71"/>
      <c r="M29" s="14"/>
      <c r="O29" s="17"/>
      <c r="P29" s="16"/>
      <c r="Q29" s="16"/>
      <c r="R29" s="2"/>
    </row>
    <row r="30" spans="1:18" ht="13.5" x14ac:dyDescent="0.25">
      <c r="A30" s="69">
        <f>'Espesor E3'!A30</f>
        <v>22</v>
      </c>
      <c r="B30" s="70">
        <f>'Espesor E3'!B30</f>
        <v>1</v>
      </c>
      <c r="C30" s="70">
        <f>'Espesor E3'!C30</f>
        <v>1</v>
      </c>
      <c r="D30" s="70">
        <f>'Espesor E3'!J30</f>
        <v>0.12</v>
      </c>
      <c r="E30" s="70">
        <f>CEILING(IF(TYPE(VLOOKUP(A30,'Espesor Equivalente'!$A$54:$S$73,19,FALSE))=16,D30,VLOOKUP(A30,'Espesor Equivalente'!$A$54:$S$73,19,FALSE)),0.01)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0.2</v>
      </c>
      <c r="K30" s="71">
        <f t="shared" si="4"/>
        <v>0.88280000000000003</v>
      </c>
      <c r="L30" s="71"/>
      <c r="M30" s="14"/>
      <c r="O30" s="17"/>
      <c r="P30" s="16"/>
      <c r="Q30" s="16"/>
      <c r="R30" s="2"/>
    </row>
    <row r="31" spans="1:18" ht="13.5" x14ac:dyDescent="0.25">
      <c r="A31" s="69">
        <f>'Espesor E3'!A31</f>
        <v>23</v>
      </c>
      <c r="B31" s="70">
        <f>'Espesor E3'!B31</f>
        <v>1</v>
      </c>
      <c r="C31" s="70">
        <f>'Espesor E3'!C31</f>
        <v>1</v>
      </c>
      <c r="D31" s="70">
        <f>'Espesor E3'!J31</f>
        <v>0.12</v>
      </c>
      <c r="E31" s="70">
        <f>CEILING(IF(TYPE(VLOOKUP(A31,'Espesor Equivalente'!$A$54:$S$73,19,FALSE))=16,D31,VLOOKUP(A31,'Espesor Equivalente'!$A$54:$S$73,19,FALSE)),0.01)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0.2</v>
      </c>
      <c r="K31" s="71">
        <f t="shared" si="4"/>
        <v>0.88280000000000003</v>
      </c>
      <c r="L31" s="71"/>
      <c r="M31" s="14"/>
      <c r="O31" s="17"/>
      <c r="P31" s="16"/>
      <c r="Q31" s="16"/>
      <c r="R31" s="2"/>
    </row>
    <row r="32" spans="1:18" ht="13.5" x14ac:dyDescent="0.25">
      <c r="A32" s="69">
        <f>'Espesor E3'!A32</f>
        <v>24</v>
      </c>
      <c r="B32" s="70">
        <f>'Espesor E3'!B32</f>
        <v>1</v>
      </c>
      <c r="C32" s="70">
        <f>'Espesor E3'!C32</f>
        <v>1</v>
      </c>
      <c r="D32" s="70">
        <f>'Espesor E3'!J32</f>
        <v>0.12</v>
      </c>
      <c r="E32" s="70">
        <f>CEILING(IF(TYPE(VLOOKUP(A32,'Espesor Equivalente'!$A$54:$S$73,19,FALSE))=16,D32,VLOOKUP(A32,'Espesor Equivalente'!$A$54:$S$73,19,FALSE)),0.01)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0.2</v>
      </c>
      <c r="K32" s="71">
        <f t="shared" si="4"/>
        <v>0.88280000000000003</v>
      </c>
      <c r="L32" s="71"/>
      <c r="M32" s="14"/>
      <c r="O32" s="17"/>
      <c r="P32" s="16"/>
      <c r="Q32" s="16"/>
      <c r="R32" s="2"/>
    </row>
    <row r="33" spans="1:18" ht="13.5" x14ac:dyDescent="0.25">
      <c r="A33" s="69">
        <f>'Espesor E3'!A33</f>
        <v>25</v>
      </c>
      <c r="B33" s="70">
        <f>'Espesor E3'!B33</f>
        <v>1</v>
      </c>
      <c r="C33" s="70">
        <f>'Espesor E3'!C33</f>
        <v>1</v>
      </c>
      <c r="D33" s="70">
        <f>'Espesor E3'!J33</f>
        <v>0.12</v>
      </c>
      <c r="E33" s="70">
        <f>CEILING(IF(TYPE(VLOOKUP(A33,'Espesor Equivalente'!$A$54:$S$73,19,FALSE))=16,D33,VLOOKUP(A33,'Espesor Equivalente'!$A$54:$S$73,19,FALSE)),0.01)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0.2</v>
      </c>
      <c r="K33" s="71">
        <f t="shared" si="4"/>
        <v>0.88280000000000003</v>
      </c>
      <c r="L33" s="71"/>
      <c r="M33" s="14"/>
      <c r="O33" s="17"/>
      <c r="P33" s="16"/>
      <c r="Q33" s="16"/>
      <c r="R33" s="2"/>
    </row>
    <row r="34" spans="1:18" ht="13.5" x14ac:dyDescent="0.25">
      <c r="A34" s="69">
        <f>'Espesor E3'!A34</f>
        <v>26</v>
      </c>
      <c r="B34" s="70">
        <f>'Espesor E3'!B34</f>
        <v>1</v>
      </c>
      <c r="C34" s="70">
        <f>'Espesor E3'!C34</f>
        <v>1</v>
      </c>
      <c r="D34" s="70">
        <f>'Espesor E3'!J34</f>
        <v>0.12</v>
      </c>
      <c r="E34" s="70">
        <f>CEILING(IF(TYPE(VLOOKUP(A34,'Espesor Equivalente'!$A$54:$S$73,19,FALSE))=16,D34,VLOOKUP(A34,'Espesor Equivalente'!$A$54:$S$73,19,FALSE)),0.01)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0.2</v>
      </c>
      <c r="K34" s="71">
        <f t="shared" si="4"/>
        <v>0.88280000000000003</v>
      </c>
      <c r="L34" s="71"/>
      <c r="M34" s="14"/>
      <c r="O34" s="17"/>
      <c r="P34" s="16"/>
      <c r="Q34" s="16"/>
      <c r="R34" s="2"/>
    </row>
    <row r="35" spans="1:18" ht="13.5" x14ac:dyDescent="0.25">
      <c r="A35" s="69">
        <f>'Espesor E3'!A35</f>
        <v>27</v>
      </c>
      <c r="B35" s="70">
        <f>'Espesor E3'!B35</f>
        <v>1</v>
      </c>
      <c r="C35" s="70">
        <f>'Espesor E3'!C35</f>
        <v>1</v>
      </c>
      <c r="D35" s="70">
        <f>'Espesor E3'!J35</f>
        <v>0.12</v>
      </c>
      <c r="E35" s="70">
        <f>CEILING(IF(TYPE(VLOOKUP(A35,'Espesor Equivalente'!$A$54:$S$73,19,FALSE))=16,D35,VLOOKUP(A35,'Espesor Equivalente'!$A$54:$S$73,19,FALSE)),0.01)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0.2</v>
      </c>
      <c r="K35" s="71">
        <f t="shared" si="4"/>
        <v>0.88280000000000003</v>
      </c>
      <c r="L35" s="71"/>
      <c r="M35" s="14"/>
      <c r="O35" s="17"/>
      <c r="P35" s="16"/>
      <c r="Q35" s="16"/>
      <c r="R35" s="2"/>
    </row>
    <row r="36" spans="1:18" ht="13.5" x14ac:dyDescent="0.25">
      <c r="A36" s="69">
        <f>'Espesor E3'!A36</f>
        <v>28</v>
      </c>
      <c r="B36" s="70">
        <f>'Espesor E3'!B36</f>
        <v>1</v>
      </c>
      <c r="C36" s="70">
        <f>'Espesor E3'!C36</f>
        <v>1</v>
      </c>
      <c r="D36" s="70">
        <f>'Espesor E3'!J36</f>
        <v>0.12</v>
      </c>
      <c r="E36" s="70">
        <f>CEILING(IF(TYPE(VLOOKUP(A36,'Espesor Equivalente'!$A$54:$S$73,19,FALSE))=16,D36,VLOOKUP(A36,'Espesor Equivalente'!$A$54:$S$73,19,FALSE)),0.01)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0.2</v>
      </c>
      <c r="K36" s="71">
        <f t="shared" si="4"/>
        <v>0.88280000000000003</v>
      </c>
      <c r="L36" s="71"/>
      <c r="M36" s="14"/>
      <c r="O36" s="17"/>
      <c r="P36" s="16"/>
      <c r="Q36" s="16"/>
      <c r="R36" s="2"/>
    </row>
    <row r="37" spans="1:18" ht="13.5" x14ac:dyDescent="0.25">
      <c r="A37" s="69">
        <f>'Espesor E3'!A37</f>
        <v>29</v>
      </c>
      <c r="B37" s="70">
        <f>'Espesor E3'!B37</f>
        <v>1</v>
      </c>
      <c r="C37" s="70">
        <f>'Espesor E3'!C37</f>
        <v>1</v>
      </c>
      <c r="D37" s="70">
        <f>'Espesor E3'!J37</f>
        <v>0.12</v>
      </c>
      <c r="E37" s="70">
        <f>CEILING(IF(TYPE(VLOOKUP(A37,'Espesor Equivalente'!$A$54:$S$73,19,FALSE))=16,D37,VLOOKUP(A37,'Espesor Equivalente'!$A$54:$S$73,19,FALSE)),0.01)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0.2</v>
      </c>
      <c r="K37" s="71">
        <f t="shared" si="4"/>
        <v>0.88280000000000003</v>
      </c>
      <c r="L37" s="71"/>
      <c r="M37" s="14"/>
      <c r="O37" s="17"/>
      <c r="P37" s="16"/>
      <c r="Q37" s="16"/>
      <c r="R37" s="2"/>
    </row>
    <row r="38" spans="1:18" ht="13.5" x14ac:dyDescent="0.25">
      <c r="A38" s="69">
        <f>'Espesor E3'!A38</f>
        <v>30</v>
      </c>
      <c r="B38" s="70">
        <f>'Espesor E3'!B38</f>
        <v>1</v>
      </c>
      <c r="C38" s="70">
        <f>'Espesor E3'!C38</f>
        <v>1</v>
      </c>
      <c r="D38" s="70">
        <f>'Espesor E3'!J38</f>
        <v>0.12</v>
      </c>
      <c r="E38" s="70">
        <f>CEILING(IF(TYPE(VLOOKUP(A38,'Espesor Equivalente'!$A$54:$S$73,19,FALSE))=16,D38,VLOOKUP(A38,'Espesor Equivalente'!$A$54:$S$73,19,FALSE)),0.01)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0.2</v>
      </c>
      <c r="K38" s="71">
        <f t="shared" si="4"/>
        <v>0.88280000000000003</v>
      </c>
      <c r="L38" s="71"/>
      <c r="M38" s="14"/>
      <c r="O38" s="17"/>
      <c r="P38" s="16"/>
      <c r="Q38" s="16"/>
      <c r="R38" s="2"/>
    </row>
    <row r="39" spans="1:18" ht="13.5" x14ac:dyDescent="0.25">
      <c r="A39" s="69">
        <f>'Espesor E3'!A39</f>
        <v>31</v>
      </c>
      <c r="B39" s="70">
        <f>'Espesor E3'!B39</f>
        <v>1</v>
      </c>
      <c r="C39" s="70">
        <f>'Espesor E3'!C39</f>
        <v>1</v>
      </c>
      <c r="D39" s="70">
        <f>'Espesor E3'!J39</f>
        <v>0.12</v>
      </c>
      <c r="E39" s="70">
        <f>CEILING(IF(TYPE(VLOOKUP(A39,'Espesor Equivalente'!$A$54:$S$73,19,FALSE))=16,D39,VLOOKUP(A39,'Espesor Equivalente'!$A$54:$S$73,19,FALSE)),0.01)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0.2</v>
      </c>
      <c r="K39" s="71">
        <f t="shared" si="4"/>
        <v>0.88280000000000003</v>
      </c>
      <c r="L39" s="71"/>
      <c r="M39" s="14"/>
      <c r="O39" s="17"/>
      <c r="P39" s="16"/>
      <c r="Q39" s="16"/>
      <c r="R39" s="2"/>
    </row>
    <row r="40" spans="1:18" ht="13.5" x14ac:dyDescent="0.25">
      <c r="A40" s="69">
        <f>'Espesor E3'!A40</f>
        <v>32</v>
      </c>
      <c r="B40" s="70">
        <f>'Espesor E3'!B40</f>
        <v>1</v>
      </c>
      <c r="C40" s="70">
        <f>'Espesor E3'!C40</f>
        <v>1</v>
      </c>
      <c r="D40" s="70">
        <f>'Espesor E3'!J40</f>
        <v>0.12</v>
      </c>
      <c r="E40" s="70">
        <f>CEILING(IF(TYPE(VLOOKUP(A40,'Espesor Equivalente'!$A$54:$S$73,19,FALSE))=16,D40,VLOOKUP(A40,'Espesor Equivalente'!$A$54:$S$73,19,FALSE)),0.01)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0.2</v>
      </c>
      <c r="K40" s="71">
        <f t="shared" si="4"/>
        <v>0.88280000000000003</v>
      </c>
      <c r="L40" s="71"/>
      <c r="M40" s="14"/>
      <c r="O40" s="17"/>
      <c r="P40" s="16"/>
      <c r="Q40" s="16"/>
      <c r="R40" s="2"/>
    </row>
    <row r="41" spans="1:18" ht="13.5" x14ac:dyDescent="0.25">
      <c r="A41" s="69">
        <f>'Espesor E3'!A41</f>
        <v>33</v>
      </c>
      <c r="B41" s="70">
        <f>'Espesor E3'!B41</f>
        <v>1</v>
      </c>
      <c r="C41" s="70">
        <f>'Espesor E3'!C41</f>
        <v>1</v>
      </c>
      <c r="D41" s="70">
        <f>'Espesor E3'!J41</f>
        <v>0.12</v>
      </c>
      <c r="E41" s="70">
        <f>CEILING(IF(TYPE(VLOOKUP(A41,'Espesor Equivalente'!$A$54:$S$73,19,FALSE))=16,D41,VLOOKUP(A41,'Espesor Equivalente'!$A$54:$S$73,19,FALSE)),0.01)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0.2</v>
      </c>
      <c r="K41" s="71">
        <f t="shared" si="4"/>
        <v>0.88280000000000003</v>
      </c>
      <c r="L41" s="71"/>
      <c r="M41" s="14"/>
      <c r="O41" s="17"/>
      <c r="P41" s="16"/>
      <c r="Q41" s="16"/>
      <c r="R41" s="2"/>
    </row>
    <row r="42" spans="1:18" ht="13.5" x14ac:dyDescent="0.25">
      <c r="A42" s="69">
        <f>'Espesor E3'!A42</f>
        <v>34</v>
      </c>
      <c r="B42" s="70">
        <f>'Espesor E3'!B42</f>
        <v>1</v>
      </c>
      <c r="C42" s="70">
        <f>'Espesor E3'!C42</f>
        <v>1</v>
      </c>
      <c r="D42" s="70">
        <f>'Espesor E3'!J42</f>
        <v>0.12</v>
      </c>
      <c r="E42" s="70">
        <f>CEILING(IF(TYPE(VLOOKUP(A42,'Espesor Equivalente'!$A$54:$S$73,19,FALSE))=16,D42,VLOOKUP(A42,'Espesor Equivalente'!$A$54:$S$73,19,FALSE)),0.01)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0.2</v>
      </c>
      <c r="K42" s="71">
        <f t="shared" si="4"/>
        <v>0.88280000000000003</v>
      </c>
      <c r="L42" s="71"/>
      <c r="M42" s="14"/>
      <c r="O42" s="17"/>
      <c r="P42" s="16"/>
      <c r="Q42" s="16"/>
      <c r="R42" s="2"/>
    </row>
    <row r="43" spans="1:18" ht="13.5" x14ac:dyDescent="0.25">
      <c r="A43" s="69">
        <f>'Espesor E3'!A43</f>
        <v>35</v>
      </c>
      <c r="B43" s="70">
        <f>'Espesor E3'!B43</f>
        <v>1</v>
      </c>
      <c r="C43" s="70">
        <f>'Espesor E3'!C43</f>
        <v>1</v>
      </c>
      <c r="D43" s="70">
        <f>'Espesor E3'!J43</f>
        <v>0.12</v>
      </c>
      <c r="E43" s="70">
        <f>CEILING(IF(TYPE(VLOOKUP(A43,'Espesor Equivalente'!$A$54:$S$73,19,FALSE))=16,D43,VLOOKUP(A43,'Espesor Equivalente'!$A$54:$S$73,19,FALSE)),0.01)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0.2</v>
      </c>
      <c r="K43" s="71">
        <f t="shared" si="4"/>
        <v>0.88280000000000003</v>
      </c>
      <c r="L43" s="71"/>
      <c r="M43" s="14"/>
      <c r="O43" s="17"/>
      <c r="P43" s="16"/>
      <c r="Q43" s="16"/>
      <c r="R43" s="2"/>
    </row>
    <row r="44" spans="1:18" ht="13.5" x14ac:dyDescent="0.25">
      <c r="A44" s="69">
        <f>'Espesor E3'!A44</f>
        <v>36</v>
      </c>
      <c r="B44" s="70">
        <f>'Espesor E3'!B44</f>
        <v>1</v>
      </c>
      <c r="C44" s="70">
        <f>'Espesor E3'!C44</f>
        <v>1</v>
      </c>
      <c r="D44" s="70">
        <f>'Espesor E3'!J44</f>
        <v>0.12</v>
      </c>
      <c r="E44" s="70">
        <f>CEILING(IF(TYPE(VLOOKUP(A44,'Espesor Equivalente'!$A$54:$S$73,19,FALSE))=16,D44,VLOOKUP(A44,'Espesor Equivalente'!$A$54:$S$73,19,FALSE)),0.01)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0.2</v>
      </c>
      <c r="K44" s="71">
        <f t="shared" si="4"/>
        <v>0.88280000000000003</v>
      </c>
      <c r="L44" s="71"/>
      <c r="M44" s="14"/>
      <c r="O44" s="6"/>
      <c r="P44" s="16"/>
      <c r="Q44" s="16"/>
      <c r="R44" s="2"/>
    </row>
    <row r="45" spans="1:18" ht="13.5" x14ac:dyDescent="0.25">
      <c r="A45" s="69">
        <f>'Espesor E3'!A45</f>
        <v>37</v>
      </c>
      <c r="B45" s="70">
        <f>'Espesor E3'!B45</f>
        <v>1</v>
      </c>
      <c r="C45" s="70">
        <f>'Espesor E3'!C45</f>
        <v>1</v>
      </c>
      <c r="D45" s="70">
        <f>'Espesor E3'!J45</f>
        <v>0.12</v>
      </c>
      <c r="E45" s="70">
        <f>CEILING(IF(TYPE(VLOOKUP(A45,'Espesor Equivalente'!$A$54:$S$73,19,FALSE))=16,D45,VLOOKUP(A45,'Espesor Equivalente'!$A$54:$S$73,19,FALSE)),0.01)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0.2</v>
      </c>
      <c r="K45" s="71">
        <f t="shared" si="4"/>
        <v>0.88280000000000003</v>
      </c>
      <c r="L45" s="71"/>
      <c r="M45" s="14"/>
      <c r="O45" s="17"/>
      <c r="P45" s="16"/>
      <c r="Q45" s="16"/>
      <c r="R45" s="2"/>
    </row>
    <row r="46" spans="1:18" ht="13.5" x14ac:dyDescent="0.25">
      <c r="A46" s="69">
        <f>'Espesor E3'!A46</f>
        <v>38</v>
      </c>
      <c r="B46" s="70">
        <f>'Espesor E3'!B46</f>
        <v>1</v>
      </c>
      <c r="C46" s="70">
        <f>'Espesor E3'!C46</f>
        <v>1</v>
      </c>
      <c r="D46" s="70">
        <f>'Espesor E3'!J46</f>
        <v>0.12</v>
      </c>
      <c r="E46" s="70">
        <f>CEILING(IF(TYPE(VLOOKUP(A46,'Espesor Equivalente'!$A$54:$S$73,19,FALSE))=16,D46,VLOOKUP(A46,'Espesor Equivalente'!$A$54:$S$73,19,FALSE)),0.01)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0.2</v>
      </c>
      <c r="K46" s="71">
        <f t="shared" si="4"/>
        <v>0.88280000000000003</v>
      </c>
      <c r="L46" s="71"/>
      <c r="M46" s="14"/>
      <c r="O46" s="17"/>
      <c r="P46" s="16"/>
      <c r="Q46" s="16"/>
      <c r="R46" s="2"/>
    </row>
    <row r="47" spans="1:18" ht="13.5" x14ac:dyDescent="0.25">
      <c r="A47" s="69">
        <f>'Espesor E3'!A47</f>
        <v>39</v>
      </c>
      <c r="B47" s="70">
        <f>'Espesor E3'!B47</f>
        <v>1</v>
      </c>
      <c r="C47" s="70">
        <f>'Espesor E3'!C47</f>
        <v>1</v>
      </c>
      <c r="D47" s="70">
        <f>'Espesor E3'!J47</f>
        <v>0.12</v>
      </c>
      <c r="E47" s="70">
        <f>CEILING(IF(TYPE(VLOOKUP(A47,'Espesor Equivalente'!$A$54:$S$73,19,FALSE))=16,D47,VLOOKUP(A47,'Espesor Equivalente'!$A$54:$S$73,19,FALSE)),0.01)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0.2</v>
      </c>
      <c r="K47" s="71">
        <f t="shared" si="4"/>
        <v>0.88280000000000003</v>
      </c>
      <c r="L47" s="71"/>
      <c r="M47" s="14"/>
      <c r="O47" s="6"/>
      <c r="P47" s="16"/>
      <c r="Q47" s="16"/>
      <c r="R47" s="2"/>
    </row>
    <row r="48" spans="1:18" ht="13.5" x14ac:dyDescent="0.25">
      <c r="A48" s="69">
        <f>'Espesor E3'!A48</f>
        <v>40</v>
      </c>
      <c r="B48" s="70">
        <f>'Espesor E3'!B48</f>
        <v>1</v>
      </c>
      <c r="C48" s="70">
        <f>'Espesor E3'!C48</f>
        <v>1</v>
      </c>
      <c r="D48" s="70">
        <f>'Espesor E3'!J48</f>
        <v>0.12</v>
      </c>
      <c r="E48" s="70">
        <f>CEILING(IF(TYPE(VLOOKUP(A48,'Espesor Equivalente'!$A$54:$S$73,19,FALSE))=16,D48,VLOOKUP(A48,'Espesor Equivalente'!$A$54:$S$73,19,FALSE)),0.01)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0.2</v>
      </c>
      <c r="K48" s="71">
        <f t="shared" si="4"/>
        <v>0.88280000000000003</v>
      </c>
      <c r="L48" s="71"/>
      <c r="M48" s="14"/>
      <c r="O48" s="17"/>
      <c r="P48" s="16"/>
      <c r="Q48" s="16"/>
      <c r="R48" s="2"/>
    </row>
    <row r="49" spans="1:18" ht="13.5" x14ac:dyDescent="0.25">
      <c r="A49" s="69">
        <f>'Espesor E3'!A49</f>
        <v>41</v>
      </c>
      <c r="B49" s="70">
        <f>'Espesor E3'!B49</f>
        <v>1</v>
      </c>
      <c r="C49" s="70">
        <f>'Espesor E3'!C49</f>
        <v>1</v>
      </c>
      <c r="D49" s="70">
        <f>'Espesor E3'!J49</f>
        <v>0.12</v>
      </c>
      <c r="E49" s="70">
        <f>CEILING(IF(TYPE(VLOOKUP(A49,'Espesor Equivalente'!$A$54:$S$73,19,FALSE))=16,D49,VLOOKUP(A49,'Espesor Equivalente'!$A$54:$S$73,19,FALSE)),0.01)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0.2</v>
      </c>
      <c r="K49" s="71">
        <f t="shared" si="4"/>
        <v>0.88280000000000003</v>
      </c>
      <c r="L49" s="71"/>
      <c r="M49" s="14"/>
      <c r="O49" s="17"/>
      <c r="P49" s="16"/>
      <c r="Q49" s="16"/>
      <c r="R49" s="2"/>
    </row>
    <row r="50" spans="1:18" ht="13.5" x14ac:dyDescent="0.25">
      <c r="A50" s="69">
        <f>'Espesor E3'!A50</f>
        <v>42</v>
      </c>
      <c r="B50" s="70">
        <f>'Espesor E3'!B50</f>
        <v>1</v>
      </c>
      <c r="C50" s="70">
        <f>'Espesor E3'!C50</f>
        <v>1</v>
      </c>
      <c r="D50" s="70">
        <f>'Espesor E3'!J50</f>
        <v>0.12</v>
      </c>
      <c r="E50" s="70">
        <f>CEILING(IF(TYPE(VLOOKUP(A50,'Espesor Equivalente'!$A$54:$S$73,19,FALSE))=16,D50,VLOOKUP(A50,'Espesor Equivalente'!$A$54:$S$73,19,FALSE)),0.01)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0.2</v>
      </c>
      <c r="K50" s="71">
        <f t="shared" si="4"/>
        <v>0.88280000000000003</v>
      </c>
      <c r="L50" s="71"/>
      <c r="M50" s="14"/>
      <c r="O50" s="6"/>
      <c r="P50" s="16"/>
      <c r="Q50" s="16"/>
      <c r="R50" s="2"/>
    </row>
    <row r="51" spans="1:18" ht="13.5" x14ac:dyDescent="0.25">
      <c r="A51" s="69">
        <f>'Espesor E3'!A51</f>
        <v>43</v>
      </c>
      <c r="B51" s="70">
        <f>'Espesor E3'!B51</f>
        <v>1</v>
      </c>
      <c r="C51" s="70">
        <f>'Espesor E3'!C51</f>
        <v>1</v>
      </c>
      <c r="D51" s="70">
        <f>'Espesor E3'!J51</f>
        <v>0.12</v>
      </c>
      <c r="E51" s="70">
        <f>CEILING(IF(TYPE(VLOOKUP(A51,'Espesor Equivalente'!$A$54:$S$73,19,FALSE))=16,D51,VLOOKUP(A51,'Espesor Equivalente'!$A$54:$S$73,19,FALSE)),0.01)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0.2</v>
      </c>
      <c r="K51" s="71">
        <f t="shared" si="4"/>
        <v>0.88280000000000003</v>
      </c>
      <c r="L51" s="71"/>
      <c r="M51" s="14"/>
      <c r="O51" s="17"/>
      <c r="P51" s="16"/>
      <c r="Q51" s="16"/>
      <c r="R51" s="2"/>
    </row>
    <row r="52" spans="1:18" ht="13.5" x14ac:dyDescent="0.25">
      <c r="A52" s="69">
        <f>'Espesor E3'!A52</f>
        <v>44</v>
      </c>
      <c r="B52" s="70">
        <f>'Espesor E3'!B52</f>
        <v>1</v>
      </c>
      <c r="C52" s="70">
        <f>'Espesor E3'!C52</f>
        <v>1</v>
      </c>
      <c r="D52" s="70">
        <f>'Espesor E3'!J52</f>
        <v>0.12</v>
      </c>
      <c r="E52" s="70">
        <f>CEILING(IF(TYPE(VLOOKUP(A52,'Espesor Equivalente'!$A$54:$S$73,19,FALSE))=16,D52,VLOOKUP(A52,'Espesor Equivalente'!$A$54:$S$73,19,FALSE)),0.01)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0.2</v>
      </c>
      <c r="K52" s="71">
        <f t="shared" si="4"/>
        <v>0.88280000000000003</v>
      </c>
      <c r="L52" s="71"/>
      <c r="M52" s="14"/>
      <c r="O52" s="6"/>
      <c r="P52" s="16"/>
      <c r="Q52" s="16"/>
      <c r="R52" s="2"/>
    </row>
    <row r="53" spans="1:18" ht="13.5" x14ac:dyDescent="0.25">
      <c r="A53" s="69">
        <f>'Espesor E3'!A53</f>
        <v>45</v>
      </c>
      <c r="B53" s="70">
        <f>'Espesor E3'!B53</f>
        <v>1</v>
      </c>
      <c r="C53" s="70">
        <f>'Espesor E3'!C53</f>
        <v>1</v>
      </c>
      <c r="D53" s="70">
        <f>'Espesor E3'!J53</f>
        <v>0.12</v>
      </c>
      <c r="E53" s="70">
        <f>CEILING(IF(TYPE(VLOOKUP(A53,'Espesor Equivalente'!$A$54:$S$73,19,FALSE))=16,D53,VLOOKUP(A53,'Espesor Equivalente'!$A$54:$S$73,19,FALSE)),0.01)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0.2</v>
      </c>
      <c r="K53" s="71">
        <f t="shared" si="4"/>
        <v>0.88280000000000003</v>
      </c>
      <c r="L53" s="71"/>
      <c r="M53" s="14"/>
      <c r="O53" s="17"/>
      <c r="P53" s="16"/>
      <c r="Q53" s="16"/>
      <c r="R53" s="2"/>
    </row>
    <row r="54" spans="1:18" ht="13.5" x14ac:dyDescent="0.25">
      <c r="A54" s="69">
        <f>'Espesor E3'!A54</f>
        <v>46</v>
      </c>
      <c r="B54" s="70">
        <f>'Espesor E3'!B54</f>
        <v>1</v>
      </c>
      <c r="C54" s="70">
        <f>'Espesor E3'!C54</f>
        <v>1</v>
      </c>
      <c r="D54" s="70">
        <f>'Espesor E3'!J54</f>
        <v>0.12</v>
      </c>
      <c r="E54" s="70">
        <f>CEILING(IF(TYPE(VLOOKUP(A54,'Espesor Equivalente'!$A$54:$S$73,19,FALSE))=16,D54,VLOOKUP(A54,'Espesor Equivalente'!$A$54:$S$73,19,FALSE)),0.01)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0.2</v>
      </c>
      <c r="K54" s="71">
        <f t="shared" si="4"/>
        <v>0.88280000000000003</v>
      </c>
      <c r="L54" s="71"/>
      <c r="M54" s="14"/>
      <c r="O54" s="6"/>
      <c r="P54" s="16"/>
      <c r="Q54" s="16"/>
      <c r="R54" s="2"/>
    </row>
    <row r="55" spans="1:18" ht="13.5" x14ac:dyDescent="0.25">
      <c r="A55" s="69">
        <f>'Espesor E3'!A55</f>
        <v>47</v>
      </c>
      <c r="B55" s="70">
        <f>'Espesor E3'!B55</f>
        <v>1</v>
      </c>
      <c r="C55" s="70">
        <f>'Espesor E3'!C55</f>
        <v>1</v>
      </c>
      <c r="D55" s="70">
        <f>'Espesor E3'!J55</f>
        <v>0.12</v>
      </c>
      <c r="E55" s="70">
        <f>CEILING(IF(TYPE(VLOOKUP(A55,'Espesor Equivalente'!$A$54:$S$73,19,FALSE))=16,D55,VLOOKUP(A55,'Espesor Equivalente'!$A$54:$S$73,19,FALSE)),0.01)</f>
        <v>0.12</v>
      </c>
      <c r="F55" s="20">
        <f t="shared" si="1"/>
        <v>1</v>
      </c>
      <c r="G55" s="80">
        <f t="shared" si="2"/>
        <v>0</v>
      </c>
      <c r="H55" s="20">
        <f t="shared" si="3"/>
        <v>0</v>
      </c>
      <c r="I55" s="20">
        <f>VLOOKUP(E55,Cargas!$D$8:$G$23,4,TRUE)+H55</f>
        <v>0.46899999999999997</v>
      </c>
      <c r="J55" s="75">
        <f t="shared" si="0"/>
        <v>0.2</v>
      </c>
      <c r="K55" s="71">
        <f t="shared" si="4"/>
        <v>0.88280000000000003</v>
      </c>
      <c r="L55" s="71"/>
      <c r="M55" s="14"/>
      <c r="O55" s="17"/>
      <c r="P55" s="16"/>
      <c r="Q55" s="16"/>
      <c r="R55" s="2"/>
    </row>
    <row r="56" spans="1:18" ht="13.5" x14ac:dyDescent="0.25">
      <c r="A56" s="69">
        <f>'Espesor E3'!A56</f>
        <v>48</v>
      </c>
      <c r="B56" s="70">
        <f>'Espesor E3'!B56</f>
        <v>1</v>
      </c>
      <c r="C56" s="70">
        <f>'Espesor E3'!C56</f>
        <v>1</v>
      </c>
      <c r="D56" s="70">
        <f>'Espesor E3'!J56</f>
        <v>0.12</v>
      </c>
      <c r="E56" s="70">
        <f>CEILING(IF(TYPE(VLOOKUP(A56,'Espesor Equivalente'!$A$54:$S$73,19,FALSE))=16,D56,VLOOKUP(A56,'Espesor Equivalente'!$A$54:$S$73,19,FALSE)),0.01)</f>
        <v>0.12</v>
      </c>
      <c r="F56" s="20">
        <f t="shared" si="1"/>
        <v>1</v>
      </c>
      <c r="G56" s="80">
        <f t="shared" si="2"/>
        <v>0</v>
      </c>
      <c r="H56" s="20">
        <f t="shared" si="3"/>
        <v>0</v>
      </c>
      <c r="I56" s="20">
        <f>VLOOKUP(E56,Cargas!$D$8:$G$23,4,TRUE)+H56</f>
        <v>0.46899999999999997</v>
      </c>
      <c r="J56" s="75">
        <f t="shared" si="0"/>
        <v>0.2</v>
      </c>
      <c r="K56" s="71">
        <f t="shared" si="4"/>
        <v>0.88280000000000003</v>
      </c>
      <c r="L56" s="71"/>
      <c r="M56" s="14"/>
      <c r="O56" s="17"/>
      <c r="P56" s="16"/>
      <c r="Q56" s="16"/>
      <c r="R56" s="2"/>
    </row>
    <row r="57" spans="1:18" ht="13.5" x14ac:dyDescent="0.25">
      <c r="A57" s="69">
        <f>'Espesor E3'!A57</f>
        <v>49</v>
      </c>
      <c r="B57" s="70">
        <f>'Espesor E3'!B57</f>
        <v>1</v>
      </c>
      <c r="C57" s="70">
        <f>'Espesor E3'!C57</f>
        <v>1</v>
      </c>
      <c r="D57" s="70">
        <f>'Espesor E3'!J57</f>
        <v>0.12</v>
      </c>
      <c r="E57" s="70">
        <f>CEILING(IF(TYPE(VLOOKUP(A57,'Espesor Equivalente'!$A$54:$S$73,19,FALSE))=16,D57,VLOOKUP(A57,'Espesor Equivalente'!$A$54:$S$73,19,FALSE)),0.01)</f>
        <v>0.12</v>
      </c>
      <c r="F57" s="20">
        <f t="shared" si="1"/>
        <v>1</v>
      </c>
      <c r="G57" s="80">
        <f t="shared" si="2"/>
        <v>0</v>
      </c>
      <c r="H57" s="20">
        <f t="shared" si="3"/>
        <v>0</v>
      </c>
      <c r="I57" s="20">
        <f>VLOOKUP(E57,Cargas!$D$8:$G$23,4,TRUE)+H57</f>
        <v>0.46899999999999997</v>
      </c>
      <c r="J57" s="75">
        <f t="shared" si="0"/>
        <v>0.2</v>
      </c>
      <c r="K57" s="71">
        <f t="shared" si="4"/>
        <v>0.88280000000000003</v>
      </c>
      <c r="L57" s="71"/>
      <c r="M57" s="14"/>
      <c r="O57" s="17"/>
      <c r="P57" s="16"/>
      <c r="Q57" s="16"/>
      <c r="R57" s="2"/>
    </row>
    <row r="58" spans="1:18" ht="13.5" x14ac:dyDescent="0.25">
      <c r="A58" s="69">
        <f>'Espesor E3'!A58</f>
        <v>50</v>
      </c>
      <c r="B58" s="70">
        <f>'Espesor E3'!B58</f>
        <v>1</v>
      </c>
      <c r="C58" s="70">
        <f>'Espesor E3'!C58</f>
        <v>1</v>
      </c>
      <c r="D58" s="70">
        <f>'Espesor E3'!J58</f>
        <v>0.12</v>
      </c>
      <c r="E58" s="70">
        <f>CEILING(IF(TYPE(VLOOKUP(A58,'Espesor Equivalente'!$A$54:$S$73,19,FALSE))=16,D58,VLOOKUP(A58,'Espesor Equivalente'!$A$54:$S$73,19,FALSE)),0.01)</f>
        <v>0.12</v>
      </c>
      <c r="F58" s="20">
        <f t="shared" si="1"/>
        <v>1</v>
      </c>
      <c r="G58" s="80">
        <f t="shared" si="2"/>
        <v>0</v>
      </c>
      <c r="H58" s="20">
        <f t="shared" si="3"/>
        <v>0</v>
      </c>
      <c r="I58" s="20">
        <f>VLOOKUP(E58,Cargas!$D$8:$G$23,4,TRUE)+H58</f>
        <v>0.46899999999999997</v>
      </c>
      <c r="J58" s="75">
        <f t="shared" si="0"/>
        <v>0.2</v>
      </c>
      <c r="K58" s="71">
        <f t="shared" si="4"/>
        <v>0.88280000000000003</v>
      </c>
      <c r="L58" s="71"/>
      <c r="M58" s="14"/>
      <c r="O58" s="17"/>
      <c r="P58" s="16"/>
      <c r="Q58" s="16"/>
      <c r="R58" s="2"/>
    </row>
    <row r="59" spans="1:18" ht="13.5" x14ac:dyDescent="0.25">
      <c r="I59" s="74">
        <f>AVERAGE(I9:I58)</f>
        <v>0.46900000000000019</v>
      </c>
      <c r="J59" s="74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37ED-07A0-4B5F-95E9-1BC6A8D3E368}">
  <sheetPr codeName="Hoja22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bestFit="1" customWidth="1"/>
    <col min="9" max="9" width="10.42578125" bestFit="1" customWidth="1"/>
    <col min="10" max="11" width="10" bestFit="1" customWidth="1"/>
    <col min="12" max="12" width="9.1406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E4</v>
      </c>
    </row>
    <row r="2" spans="1:19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E4'!G2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E4</v>
      </c>
    </row>
    <row r="3" spans="1:19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E4'!J3:J4</f>
        <v>2</v>
      </c>
      <c r="L3" s="93"/>
    </row>
    <row r="4" spans="1:19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>Carga de Losas  E4</v>
      </c>
      <c r="H4" s="224"/>
      <c r="I4" s="224"/>
      <c r="J4" s="225"/>
      <c r="K4" s="203"/>
      <c r="L4" s="93"/>
    </row>
    <row r="5" spans="1:19" ht="13.5" x14ac:dyDescent="0.25">
      <c r="A5" s="61"/>
      <c r="B5" s="1"/>
      <c r="C5" s="1"/>
      <c r="D5" s="1"/>
      <c r="E5" s="1"/>
      <c r="F5" s="61"/>
      <c r="G5" s="61"/>
      <c r="H5" s="61"/>
      <c r="I5" s="61"/>
      <c r="J5" s="61"/>
      <c r="K5" s="61"/>
      <c r="L5" s="3"/>
    </row>
    <row r="6" spans="1:19" ht="13.5" x14ac:dyDescent="0.25">
      <c r="A6" s="19" t="s">
        <v>53</v>
      </c>
      <c r="B6" s="62">
        <f>COUNT(A9:A58)</f>
        <v>50</v>
      </c>
      <c r="C6" s="19" t="s">
        <v>42</v>
      </c>
      <c r="D6" s="1">
        <f>'Espesor E4'!D6</f>
        <v>4200</v>
      </c>
      <c r="E6" s="63">
        <f>'Espesor Earlette'!D6</f>
        <v>4200</v>
      </c>
      <c r="F6" s="61" t="s">
        <v>43</v>
      </c>
      <c r="G6" s="1"/>
      <c r="H6" s="1"/>
      <c r="I6" s="61"/>
      <c r="J6" s="61"/>
      <c r="K6" s="61"/>
      <c r="L6" s="3"/>
      <c r="M6" s="230" t="s">
        <v>119</v>
      </c>
      <c r="N6" s="230"/>
      <c r="O6" s="230"/>
      <c r="P6" s="230"/>
    </row>
    <row r="7" spans="1:19" ht="14.25" thickBot="1" x14ac:dyDescent="0.3">
      <c r="A7" s="1"/>
      <c r="B7" s="1"/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L7" s="61"/>
      <c r="M7" s="230"/>
      <c r="N7" s="230"/>
      <c r="O7" s="230"/>
      <c r="P7" s="230"/>
    </row>
    <row r="8" spans="1:19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109</v>
      </c>
      <c r="G8" s="66" t="s">
        <v>56</v>
      </c>
      <c r="H8" s="66" t="s">
        <v>110</v>
      </c>
      <c r="I8" s="66" t="s">
        <v>111</v>
      </c>
      <c r="J8" s="67" t="s">
        <v>112</v>
      </c>
      <c r="K8" s="68" t="s">
        <v>113</v>
      </c>
      <c r="L8" s="91"/>
      <c r="M8" s="91" t="s">
        <v>120</v>
      </c>
      <c r="N8" s="85">
        <v>20</v>
      </c>
      <c r="O8" s="85">
        <v>15</v>
      </c>
      <c r="P8" s="85">
        <v>10</v>
      </c>
    </row>
    <row r="9" spans="1:19" ht="13.5" x14ac:dyDescent="0.25">
      <c r="A9" s="69">
        <f>'Espesor E4'!A9</f>
        <v>1</v>
      </c>
      <c r="B9" s="70">
        <f>'Espesor E4'!B9</f>
        <v>1</v>
      </c>
      <c r="C9" s="70">
        <f>'Espesor E4'!C9</f>
        <v>1</v>
      </c>
      <c r="D9" s="70">
        <f>'Espesor E4'!J9</f>
        <v>0.12</v>
      </c>
      <c r="E9" s="70">
        <f>CEILING(IF(TYPE(VLOOKUP(A9,'Espesor Equivalente'!$A$75:$S$94,19,FALSE))=16,D9,VLOOKUP(A9,'Espesor Equivalente'!$A$75:$S$94,19,FALSE)),0.01)</f>
        <v>0.12</v>
      </c>
      <c r="F9" s="20">
        <f>B9*C9</f>
        <v>1</v>
      </c>
      <c r="G9" s="80">
        <f>1.8*IF(M9=0,2.8-D9,M9-D9)*(0.2*N9+0.15*O9+0.1*P9)</f>
        <v>0</v>
      </c>
      <c r="H9" s="20">
        <f>IF(G9=0,0,MAX(0.1,G9/F9))</f>
        <v>0</v>
      </c>
      <c r="I9" s="20">
        <f>VLOOKUP(E9,Cargas!$D$8:$G$23,4,TRUE)+H9</f>
        <v>0.46899999999999997</v>
      </c>
      <c r="J9" s="75">
        <f t="shared" ref="J9:J58" si="0">qle</f>
        <v>0.2</v>
      </c>
      <c r="K9" s="71">
        <f>$I$7*I9+$J$7*J9</f>
        <v>0.88280000000000003</v>
      </c>
      <c r="L9" s="71"/>
      <c r="M9" s="14"/>
    </row>
    <row r="10" spans="1:19" ht="13.5" x14ac:dyDescent="0.25">
      <c r="A10" s="69">
        <f>'Espesor E4'!A10</f>
        <v>2</v>
      </c>
      <c r="B10" s="70">
        <f>'Espesor E4'!B10</f>
        <v>1</v>
      </c>
      <c r="C10" s="70">
        <f>'Espesor E4'!C10</f>
        <v>1</v>
      </c>
      <c r="D10" s="70">
        <f>'Espesor E4'!J10</f>
        <v>0.12</v>
      </c>
      <c r="E10" s="70">
        <f>CEILING(IF(TYPE(VLOOKUP(A10,'Espesor Equivalente'!$A$75:$S$94,19,FALSE))=16,D10,VLOOKUP(A10,'Espesor Equivalente'!$A$75:$S$94,19,FALSE)),0.01)</f>
        <v>0.12</v>
      </c>
      <c r="F10" s="20">
        <f t="shared" ref="F10:F58" si="1">B10*C10</f>
        <v>1</v>
      </c>
      <c r="G10" s="80">
        <f t="shared" ref="G10:G58" si="2">1.8*IF(M10=0,2.8-D10,M10-D10)*(0.2*N10+0.15*O10+0.1*P10)</f>
        <v>0</v>
      </c>
      <c r="H10" s="20">
        <f t="shared" ref="H10:H58" si="3">IF(G10=0,0,MAX(0.1,G10/F10))</f>
        <v>0</v>
      </c>
      <c r="I10" s="20">
        <f>VLOOKUP(E10,Cargas!$D$8:$G$23,4,TRUE)+H10</f>
        <v>0.46899999999999997</v>
      </c>
      <c r="J10" s="75">
        <f t="shared" si="0"/>
        <v>0.2</v>
      </c>
      <c r="K10" s="71">
        <f t="shared" ref="K10:K58" si="4">$I$7*I10+$J$7*J10</f>
        <v>0.88280000000000003</v>
      </c>
      <c r="L10" s="71"/>
      <c r="M10" s="14"/>
    </row>
    <row r="11" spans="1:19" ht="13.5" x14ac:dyDescent="0.25">
      <c r="A11" s="69">
        <f>'Espesor E4'!A11</f>
        <v>3</v>
      </c>
      <c r="B11" s="70">
        <f>'Espesor E4'!B11</f>
        <v>1</v>
      </c>
      <c r="C11" s="70">
        <f>'Espesor E4'!C11</f>
        <v>1</v>
      </c>
      <c r="D11" s="70">
        <f>'Espesor E4'!J11</f>
        <v>0.12</v>
      </c>
      <c r="E11" s="70">
        <f>CEILING(IF(TYPE(VLOOKUP(A11,'Espesor Equivalente'!$A$75:$S$94,19,FALSE))=16,D11,VLOOKUP(A11,'Espesor Equivalente'!$A$75:$S$94,19,FALSE)),0.01)</f>
        <v>0.12</v>
      </c>
      <c r="F11" s="20">
        <f t="shared" si="1"/>
        <v>1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0.2</v>
      </c>
      <c r="K11" s="71">
        <f t="shared" si="4"/>
        <v>0.88280000000000003</v>
      </c>
      <c r="L11" s="71"/>
      <c r="M11" s="14"/>
      <c r="Q11" s="16"/>
      <c r="R11" s="231"/>
      <c r="S11" s="231"/>
    </row>
    <row r="12" spans="1:19" ht="13.5" x14ac:dyDescent="0.25">
      <c r="A12" s="69">
        <f>'Espesor E4'!A12</f>
        <v>4</v>
      </c>
      <c r="B12" s="70">
        <f>'Espesor E4'!B12</f>
        <v>1</v>
      </c>
      <c r="C12" s="70">
        <f>'Espesor E4'!C12</f>
        <v>1</v>
      </c>
      <c r="D12" s="70">
        <f>'Espesor E4'!J12</f>
        <v>0.12</v>
      </c>
      <c r="E12" s="70">
        <f>CEILING(IF(TYPE(VLOOKUP(A12,'Espesor Equivalente'!$A$75:$S$94,19,FALSE))=16,D12,VLOOKUP(A12,'Espesor Equivalente'!$A$75:$S$94,19,FALSE)),0.01)</f>
        <v>0.12</v>
      </c>
      <c r="F12" s="20">
        <f t="shared" si="1"/>
        <v>1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0.2</v>
      </c>
      <c r="K12" s="71">
        <f t="shared" si="4"/>
        <v>0.88280000000000003</v>
      </c>
      <c r="L12" s="71"/>
      <c r="M12" s="14"/>
      <c r="O12" s="6"/>
      <c r="P12" s="6"/>
      <c r="Q12" s="6"/>
      <c r="R12" s="6"/>
      <c r="S12" s="6"/>
    </row>
    <row r="13" spans="1:19" ht="13.5" x14ac:dyDescent="0.25">
      <c r="A13" s="69">
        <f>'Espesor E4'!A13</f>
        <v>5</v>
      </c>
      <c r="B13" s="70">
        <f>'Espesor E4'!B13</f>
        <v>1</v>
      </c>
      <c r="C13" s="70">
        <f>'Espesor E4'!C13</f>
        <v>1</v>
      </c>
      <c r="D13" s="70">
        <f>'Espesor E4'!J13</f>
        <v>0.12</v>
      </c>
      <c r="E13" s="70">
        <f>CEILING(IF(TYPE(VLOOKUP(A13,'Espesor Equivalente'!$A$75:$S$94,19,FALSE))=16,D13,VLOOKUP(A13,'Espesor Equivalente'!$A$75:$S$94,19,FALSE)),0.01)</f>
        <v>0.12</v>
      </c>
      <c r="F13" s="20">
        <f t="shared" si="1"/>
        <v>1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0.2</v>
      </c>
      <c r="K13" s="71">
        <f t="shared" si="4"/>
        <v>0.88280000000000003</v>
      </c>
      <c r="L13" s="71"/>
      <c r="M13" s="14"/>
      <c r="O13" s="6"/>
      <c r="P13" s="16"/>
      <c r="Q13" s="16"/>
      <c r="R13" s="2"/>
    </row>
    <row r="14" spans="1:19" ht="13.5" x14ac:dyDescent="0.25">
      <c r="A14" s="69">
        <f>'Espesor E4'!A14</f>
        <v>6</v>
      </c>
      <c r="B14" s="70">
        <f>'Espesor E4'!B14</f>
        <v>1</v>
      </c>
      <c r="C14" s="70">
        <f>'Espesor E4'!C14</f>
        <v>1</v>
      </c>
      <c r="D14" s="70">
        <f>'Espesor E4'!J14</f>
        <v>0.12</v>
      </c>
      <c r="E14" s="70">
        <f>CEILING(IF(TYPE(VLOOKUP(A14,'Espesor Equivalente'!$A$75:$S$94,19,FALSE))=16,D14,VLOOKUP(A14,'Espesor Equivalente'!$A$75:$S$94,19,FALSE)),0.01)</f>
        <v>0.12</v>
      </c>
      <c r="F14" s="20">
        <f t="shared" si="1"/>
        <v>1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0.2</v>
      </c>
      <c r="K14" s="71">
        <f t="shared" si="4"/>
        <v>0.88280000000000003</v>
      </c>
      <c r="L14" s="71"/>
      <c r="M14" s="14"/>
      <c r="O14" s="17"/>
      <c r="P14" s="16"/>
      <c r="Q14" s="16"/>
      <c r="R14" s="2"/>
    </row>
    <row r="15" spans="1:19" ht="13.5" x14ac:dyDescent="0.25">
      <c r="A15" s="69">
        <f>'Espesor E4'!A15</f>
        <v>7</v>
      </c>
      <c r="B15" s="70">
        <f>'Espesor E4'!B15</f>
        <v>1</v>
      </c>
      <c r="C15" s="70">
        <f>'Espesor E4'!C15</f>
        <v>1</v>
      </c>
      <c r="D15" s="70">
        <f>'Espesor E4'!J15</f>
        <v>0.12</v>
      </c>
      <c r="E15" s="70">
        <f>CEILING(IF(TYPE(VLOOKUP(A15,'Espesor Equivalente'!$A$75:$S$94,19,FALSE))=16,D15,VLOOKUP(A15,'Espesor Equivalente'!$A$75:$S$94,19,FALSE)),0.01)</f>
        <v>0.12</v>
      </c>
      <c r="F15" s="20">
        <f t="shared" si="1"/>
        <v>1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0.46899999999999997</v>
      </c>
      <c r="J15" s="75">
        <f t="shared" si="0"/>
        <v>0.2</v>
      </c>
      <c r="K15" s="71">
        <f t="shared" si="4"/>
        <v>0.88280000000000003</v>
      </c>
      <c r="L15" s="71"/>
      <c r="M15" s="14"/>
      <c r="O15" s="17"/>
      <c r="P15" s="16"/>
      <c r="Q15" s="16"/>
      <c r="R15" s="2"/>
    </row>
    <row r="16" spans="1:19" ht="13.5" x14ac:dyDescent="0.25">
      <c r="A16" s="69">
        <f>'Espesor E4'!A16</f>
        <v>8</v>
      </c>
      <c r="B16" s="70">
        <f>'Espesor E4'!B16</f>
        <v>1</v>
      </c>
      <c r="C16" s="70">
        <f>'Espesor E4'!C16</f>
        <v>1</v>
      </c>
      <c r="D16" s="70">
        <f>'Espesor E4'!J16</f>
        <v>0.12</v>
      </c>
      <c r="E16" s="70">
        <f>CEILING(IF(TYPE(VLOOKUP(A16,'Espesor Equivalente'!$A$75:$S$94,19,FALSE))=16,D16,VLOOKUP(A16,'Espesor Equivalente'!$A$75:$S$94,19,FALSE)),0.01)</f>
        <v>0.12</v>
      </c>
      <c r="F16" s="20">
        <f t="shared" si="1"/>
        <v>1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0.2</v>
      </c>
      <c r="K16" s="71">
        <f t="shared" si="4"/>
        <v>0.88280000000000003</v>
      </c>
      <c r="L16" s="71"/>
      <c r="M16" s="14"/>
      <c r="O16" s="17"/>
      <c r="P16" s="16"/>
      <c r="Q16" s="16"/>
      <c r="R16" s="2"/>
    </row>
    <row r="17" spans="1:18" ht="13.5" x14ac:dyDescent="0.25">
      <c r="A17" s="69">
        <f>'Espesor E4'!A17</f>
        <v>9</v>
      </c>
      <c r="B17" s="70">
        <f>'Espesor E4'!B17</f>
        <v>1</v>
      </c>
      <c r="C17" s="70">
        <f>'Espesor E4'!C17</f>
        <v>1</v>
      </c>
      <c r="D17" s="70">
        <f>'Espesor E4'!J17</f>
        <v>0.12</v>
      </c>
      <c r="E17" s="70">
        <f>CEILING(IF(TYPE(VLOOKUP(A17,'Espesor Equivalente'!$A$75:$S$94,19,FALSE))=16,D17,VLOOKUP(A17,'Espesor Equivalente'!$A$75:$S$94,19,FALSE)),0.01)</f>
        <v>0.12</v>
      </c>
      <c r="F17" s="20">
        <f t="shared" si="1"/>
        <v>1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0.2</v>
      </c>
      <c r="K17" s="71">
        <f t="shared" si="4"/>
        <v>0.88280000000000003</v>
      </c>
      <c r="L17" s="71"/>
      <c r="M17" s="14"/>
      <c r="O17" s="17"/>
      <c r="P17" s="16"/>
      <c r="Q17" s="16"/>
      <c r="R17" s="2"/>
    </row>
    <row r="18" spans="1:18" ht="13.5" x14ac:dyDescent="0.25">
      <c r="A18" s="69">
        <f>'Espesor E4'!A18</f>
        <v>10</v>
      </c>
      <c r="B18" s="70">
        <f>'Espesor E4'!B18</f>
        <v>1</v>
      </c>
      <c r="C18" s="70">
        <f>'Espesor E4'!C18</f>
        <v>1</v>
      </c>
      <c r="D18" s="70">
        <f>'Espesor E4'!J18</f>
        <v>0.12</v>
      </c>
      <c r="E18" s="70">
        <f>CEILING(IF(TYPE(VLOOKUP(A18,'Espesor Equivalente'!$A$75:$S$94,19,FALSE))=16,D18,VLOOKUP(A18,'Espesor Equivalente'!$A$75:$S$94,19,FALSE)),0.01)</f>
        <v>0.12</v>
      </c>
      <c r="F18" s="20">
        <f t="shared" si="1"/>
        <v>1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0.2</v>
      </c>
      <c r="K18" s="71">
        <f t="shared" si="4"/>
        <v>0.88280000000000003</v>
      </c>
      <c r="L18" s="71"/>
      <c r="M18" s="14"/>
      <c r="O18" s="17"/>
      <c r="P18" s="16"/>
      <c r="Q18" s="16"/>
      <c r="R18" s="2"/>
    </row>
    <row r="19" spans="1:18" ht="13.5" x14ac:dyDescent="0.25">
      <c r="A19" s="69">
        <f>'Espesor E4'!A19</f>
        <v>11</v>
      </c>
      <c r="B19" s="70">
        <f>'Espesor E4'!B19</f>
        <v>1</v>
      </c>
      <c r="C19" s="70">
        <f>'Espesor E4'!C19</f>
        <v>1</v>
      </c>
      <c r="D19" s="70">
        <f>'Espesor E4'!J19</f>
        <v>0.12</v>
      </c>
      <c r="E19" s="70">
        <f>CEILING(IF(TYPE(VLOOKUP(A19,'Espesor Equivalente'!$A$75:$S$94,19,FALSE))=16,D19,VLOOKUP(A19,'Espesor Equivalente'!$A$75:$S$94,19,FALSE)),0.01)</f>
        <v>0.12</v>
      </c>
      <c r="F19" s="20">
        <f t="shared" si="1"/>
        <v>1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0.2</v>
      </c>
      <c r="K19" s="71">
        <f t="shared" si="4"/>
        <v>0.88280000000000003</v>
      </c>
      <c r="L19" s="71"/>
      <c r="M19" s="14"/>
      <c r="O19" s="17"/>
      <c r="P19" s="16"/>
      <c r="Q19" s="16"/>
      <c r="R19" s="2"/>
    </row>
    <row r="20" spans="1:18" ht="13.5" x14ac:dyDescent="0.25">
      <c r="A20" s="69">
        <f>'Espesor E4'!A20</f>
        <v>12</v>
      </c>
      <c r="B20" s="70">
        <f>'Espesor E4'!B20</f>
        <v>1</v>
      </c>
      <c r="C20" s="70">
        <f>'Espesor E4'!C20</f>
        <v>1</v>
      </c>
      <c r="D20" s="70">
        <f>'Espesor E4'!J20</f>
        <v>0.12</v>
      </c>
      <c r="E20" s="70">
        <f>CEILING(IF(TYPE(VLOOKUP(A20,'Espesor Equivalente'!$A$75:$S$94,19,FALSE))=16,D20,VLOOKUP(A20,'Espesor Equivalente'!$A$75:$S$94,19,FALSE)),0.01)</f>
        <v>0.12</v>
      </c>
      <c r="F20" s="20">
        <f t="shared" si="1"/>
        <v>1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0.2</v>
      </c>
      <c r="K20" s="71">
        <f t="shared" si="4"/>
        <v>0.88280000000000003</v>
      </c>
      <c r="L20" s="71"/>
      <c r="M20" s="14"/>
      <c r="O20" s="17"/>
      <c r="P20" s="16"/>
      <c r="Q20" s="16"/>
      <c r="R20" s="2"/>
    </row>
    <row r="21" spans="1:18" ht="13.5" x14ac:dyDescent="0.25">
      <c r="A21" s="69">
        <f>'Espesor E4'!A21</f>
        <v>13</v>
      </c>
      <c r="B21" s="70">
        <f>'Espesor E4'!B21</f>
        <v>1</v>
      </c>
      <c r="C21" s="70">
        <f>'Espesor E4'!C21</f>
        <v>1</v>
      </c>
      <c r="D21" s="70">
        <f>'Espesor E4'!J21</f>
        <v>0.12</v>
      </c>
      <c r="E21" s="70">
        <f>CEILING(IF(TYPE(VLOOKUP(A21,'Espesor Equivalente'!$A$75:$S$94,19,FALSE))=16,D21,VLOOKUP(A21,'Espesor Equivalente'!$A$75:$S$94,19,FALSE)),0.01)</f>
        <v>0.12</v>
      </c>
      <c r="F21" s="20">
        <f t="shared" si="1"/>
        <v>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0.2</v>
      </c>
      <c r="K21" s="71">
        <f t="shared" si="4"/>
        <v>0.88280000000000003</v>
      </c>
      <c r="L21" s="71"/>
      <c r="M21" s="14"/>
      <c r="O21" s="17"/>
      <c r="P21" s="16"/>
      <c r="Q21" s="16"/>
      <c r="R21" s="2"/>
    </row>
    <row r="22" spans="1:18" ht="13.5" x14ac:dyDescent="0.25">
      <c r="A22" s="69">
        <f>'Espesor E4'!A22</f>
        <v>14</v>
      </c>
      <c r="B22" s="70">
        <f>'Espesor E4'!B22</f>
        <v>1</v>
      </c>
      <c r="C22" s="70">
        <f>'Espesor E4'!C22</f>
        <v>1</v>
      </c>
      <c r="D22" s="70">
        <f>'Espesor E4'!J22</f>
        <v>0.12</v>
      </c>
      <c r="E22" s="70">
        <f>CEILING(IF(TYPE(VLOOKUP(A22,'Espesor Equivalente'!$A$75:$S$94,19,FALSE))=16,D22,VLOOKUP(A22,'Espesor Equivalente'!$A$75:$S$94,19,FALSE)),0.01)</f>
        <v>0.12</v>
      </c>
      <c r="F22" s="20">
        <f t="shared" si="1"/>
        <v>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0.2</v>
      </c>
      <c r="K22" s="71">
        <f t="shared" si="4"/>
        <v>0.88280000000000003</v>
      </c>
      <c r="L22" s="71"/>
      <c r="M22" s="14"/>
      <c r="O22" s="17"/>
      <c r="P22" s="16"/>
      <c r="Q22" s="16"/>
      <c r="R22" s="2"/>
    </row>
    <row r="23" spans="1:18" ht="13.5" x14ac:dyDescent="0.25">
      <c r="A23" s="69">
        <f>'Espesor E4'!A23</f>
        <v>15</v>
      </c>
      <c r="B23" s="70">
        <f>'Espesor E4'!B23</f>
        <v>1</v>
      </c>
      <c r="C23" s="70">
        <f>'Espesor E4'!C23</f>
        <v>1</v>
      </c>
      <c r="D23" s="70">
        <f>'Espesor E4'!J23</f>
        <v>0.12</v>
      </c>
      <c r="E23" s="70">
        <f>CEILING(IF(TYPE(VLOOKUP(A23,'Espesor Equivalente'!$A$75:$S$94,19,FALSE))=16,D23,VLOOKUP(A23,'Espesor Equivalente'!$A$75:$S$94,19,FALSE)),0.01)</f>
        <v>0.12</v>
      </c>
      <c r="F23" s="20">
        <f t="shared" si="1"/>
        <v>1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0.2</v>
      </c>
      <c r="K23" s="71">
        <f t="shared" si="4"/>
        <v>0.88280000000000003</v>
      </c>
      <c r="L23" s="71"/>
      <c r="M23" s="14"/>
      <c r="O23" s="17"/>
      <c r="P23" s="16"/>
      <c r="Q23" s="16"/>
      <c r="R23" s="2"/>
    </row>
    <row r="24" spans="1:18" ht="13.5" x14ac:dyDescent="0.25">
      <c r="A24" s="69">
        <f>'Espesor E4'!A24</f>
        <v>16</v>
      </c>
      <c r="B24" s="70">
        <f>'Espesor E4'!B24</f>
        <v>1</v>
      </c>
      <c r="C24" s="70">
        <f>'Espesor E4'!C24</f>
        <v>1</v>
      </c>
      <c r="D24" s="70">
        <f>'Espesor E4'!J24</f>
        <v>0.12</v>
      </c>
      <c r="E24" s="70">
        <f>CEILING(IF(TYPE(VLOOKUP(A24,'Espesor Equivalente'!$A$75:$S$94,19,FALSE))=16,D24,VLOOKUP(A24,'Espesor Equivalente'!$A$75:$S$94,19,FALSE)),0.01)</f>
        <v>0.12</v>
      </c>
      <c r="F24" s="20">
        <f t="shared" si="1"/>
        <v>1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0.2</v>
      </c>
      <c r="K24" s="71">
        <f t="shared" si="4"/>
        <v>0.88280000000000003</v>
      </c>
      <c r="L24" s="71"/>
      <c r="M24" s="14"/>
      <c r="O24" s="17"/>
      <c r="P24" s="16"/>
      <c r="Q24" s="16"/>
      <c r="R24" s="2"/>
    </row>
    <row r="25" spans="1:18" ht="13.5" x14ac:dyDescent="0.25">
      <c r="A25" s="69">
        <f>'Espesor E4'!A25</f>
        <v>17</v>
      </c>
      <c r="B25" s="70">
        <f>'Espesor E4'!B25</f>
        <v>1</v>
      </c>
      <c r="C25" s="70">
        <f>'Espesor E4'!C25</f>
        <v>1</v>
      </c>
      <c r="D25" s="70">
        <f>'Espesor E4'!J25</f>
        <v>0.12</v>
      </c>
      <c r="E25" s="70">
        <f>CEILING(IF(TYPE(VLOOKUP(A25,'Espesor Equivalente'!$A$75:$S$94,19,FALSE))=16,D25,VLOOKUP(A25,'Espesor Equivalente'!$A$75:$S$94,19,FALSE)),0.01)</f>
        <v>0.12</v>
      </c>
      <c r="F25" s="20">
        <f t="shared" si="1"/>
        <v>1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0.2</v>
      </c>
      <c r="K25" s="71">
        <f t="shared" si="4"/>
        <v>0.88280000000000003</v>
      </c>
      <c r="L25" s="71"/>
      <c r="M25" s="14"/>
      <c r="O25" s="17"/>
      <c r="P25" s="16"/>
      <c r="Q25" s="16"/>
      <c r="R25" s="2"/>
    </row>
    <row r="26" spans="1:18" ht="13.5" x14ac:dyDescent="0.25">
      <c r="A26" s="69">
        <f>'Espesor E4'!A26</f>
        <v>18</v>
      </c>
      <c r="B26" s="70">
        <f>'Espesor E4'!B26</f>
        <v>1</v>
      </c>
      <c r="C26" s="70">
        <f>'Espesor E4'!C26</f>
        <v>1</v>
      </c>
      <c r="D26" s="70">
        <f>'Espesor E4'!J26</f>
        <v>0.12</v>
      </c>
      <c r="E26" s="70">
        <f>CEILING(IF(TYPE(VLOOKUP(A26,'Espesor Equivalente'!$A$75:$S$94,19,FALSE))=16,D26,VLOOKUP(A26,'Espesor Equivalente'!$A$75:$S$94,19,FALSE)),0.01)</f>
        <v>0.12</v>
      </c>
      <c r="F26" s="20">
        <f t="shared" si="1"/>
        <v>1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0.2</v>
      </c>
      <c r="K26" s="71">
        <f t="shared" si="4"/>
        <v>0.88280000000000003</v>
      </c>
      <c r="L26" s="71"/>
      <c r="M26" s="14"/>
      <c r="O26" s="17"/>
      <c r="P26" s="16"/>
      <c r="Q26" s="16"/>
      <c r="R26" s="2"/>
    </row>
    <row r="27" spans="1:18" ht="13.5" x14ac:dyDescent="0.25">
      <c r="A27" s="69">
        <f>'Espesor E4'!A27</f>
        <v>19</v>
      </c>
      <c r="B27" s="70">
        <f>'Espesor E4'!B27</f>
        <v>1</v>
      </c>
      <c r="C27" s="70">
        <f>'Espesor E4'!C27</f>
        <v>1</v>
      </c>
      <c r="D27" s="70">
        <f>'Espesor E4'!J27</f>
        <v>0.12</v>
      </c>
      <c r="E27" s="70">
        <f>CEILING(IF(TYPE(VLOOKUP(A27,'Espesor Equivalente'!$A$75:$S$94,19,FALSE))=16,D27,VLOOKUP(A27,'Espesor Equivalente'!$A$75:$S$94,19,FALSE)),0.01)</f>
        <v>0.12</v>
      </c>
      <c r="F27" s="20">
        <f t="shared" si="1"/>
        <v>1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0.2</v>
      </c>
      <c r="K27" s="71">
        <f t="shared" si="4"/>
        <v>0.88280000000000003</v>
      </c>
      <c r="L27" s="71"/>
      <c r="M27" s="14"/>
      <c r="O27" s="17"/>
      <c r="P27" s="16"/>
      <c r="Q27" s="16"/>
      <c r="R27" s="2"/>
    </row>
    <row r="28" spans="1:18" ht="13.5" x14ac:dyDescent="0.25">
      <c r="A28" s="69">
        <f>'Espesor E4'!A28</f>
        <v>20</v>
      </c>
      <c r="B28" s="70">
        <f>'Espesor E4'!B28</f>
        <v>1</v>
      </c>
      <c r="C28" s="70">
        <f>'Espesor E4'!C28</f>
        <v>1</v>
      </c>
      <c r="D28" s="70">
        <f>'Espesor E4'!J28</f>
        <v>0.12</v>
      </c>
      <c r="E28" s="70">
        <f>CEILING(IF(TYPE(VLOOKUP(A28,'Espesor Equivalente'!$A$75:$S$94,19,FALSE))=16,D28,VLOOKUP(A28,'Espesor Equivalente'!$A$75:$S$94,19,FALSE)),0.01)</f>
        <v>0.12</v>
      </c>
      <c r="F28" s="20">
        <f t="shared" si="1"/>
        <v>1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0.2</v>
      </c>
      <c r="K28" s="71">
        <f t="shared" si="4"/>
        <v>0.88280000000000003</v>
      </c>
      <c r="L28" s="71"/>
      <c r="M28" s="14"/>
      <c r="O28" s="17"/>
      <c r="P28" s="16"/>
      <c r="Q28" s="16"/>
      <c r="R28" s="2"/>
    </row>
    <row r="29" spans="1:18" ht="13.5" x14ac:dyDescent="0.25">
      <c r="A29" s="69">
        <f>'Espesor E4'!A29</f>
        <v>21</v>
      </c>
      <c r="B29" s="70">
        <f>'Espesor E4'!B29</f>
        <v>1</v>
      </c>
      <c r="C29" s="70">
        <f>'Espesor E4'!C29</f>
        <v>1</v>
      </c>
      <c r="D29" s="70">
        <f>'Espesor E4'!J29</f>
        <v>0.12</v>
      </c>
      <c r="E29" s="70">
        <f>CEILING(IF(TYPE(VLOOKUP(A29,'Espesor Equivalente'!$A$75:$S$94,19,FALSE))=16,D29,VLOOKUP(A29,'Espesor Equivalente'!$A$75:$S$94,19,FALSE)),0.01)</f>
        <v>0.12</v>
      </c>
      <c r="F29" s="20">
        <f t="shared" si="1"/>
        <v>1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0.2</v>
      </c>
      <c r="K29" s="71">
        <f t="shared" si="4"/>
        <v>0.88280000000000003</v>
      </c>
      <c r="L29" s="71"/>
      <c r="M29" s="14"/>
      <c r="O29" s="17"/>
      <c r="P29" s="16"/>
      <c r="Q29" s="16"/>
      <c r="R29" s="2"/>
    </row>
    <row r="30" spans="1:18" ht="13.5" x14ac:dyDescent="0.25">
      <c r="A30" s="69">
        <f>'Espesor E4'!A30</f>
        <v>22</v>
      </c>
      <c r="B30" s="70">
        <f>'Espesor E4'!B30</f>
        <v>1</v>
      </c>
      <c r="C30" s="70">
        <f>'Espesor E4'!C30</f>
        <v>1</v>
      </c>
      <c r="D30" s="70">
        <f>'Espesor E4'!J30</f>
        <v>0.12</v>
      </c>
      <c r="E30" s="70">
        <f>CEILING(IF(TYPE(VLOOKUP(A30,'Espesor Equivalente'!$A$75:$S$94,19,FALSE))=16,D30,VLOOKUP(A30,'Espesor Equivalente'!$A$75:$S$94,19,FALSE)),0.01)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0.2</v>
      </c>
      <c r="K30" s="71">
        <f t="shared" si="4"/>
        <v>0.88280000000000003</v>
      </c>
      <c r="L30" s="71"/>
      <c r="M30" s="14"/>
      <c r="O30" s="17"/>
      <c r="P30" s="16"/>
      <c r="Q30" s="16"/>
      <c r="R30" s="2"/>
    </row>
    <row r="31" spans="1:18" ht="13.5" x14ac:dyDescent="0.25">
      <c r="A31" s="69">
        <f>'Espesor E4'!A31</f>
        <v>23</v>
      </c>
      <c r="B31" s="70">
        <f>'Espesor E4'!B31</f>
        <v>1</v>
      </c>
      <c r="C31" s="70">
        <f>'Espesor E4'!C31</f>
        <v>1</v>
      </c>
      <c r="D31" s="70">
        <f>'Espesor E4'!J31</f>
        <v>0.12</v>
      </c>
      <c r="E31" s="70">
        <f>CEILING(IF(TYPE(VLOOKUP(A31,'Espesor Equivalente'!$A$75:$S$94,19,FALSE))=16,D31,VLOOKUP(A31,'Espesor Equivalente'!$A$75:$S$94,19,FALSE)),0.01)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0.2</v>
      </c>
      <c r="K31" s="71">
        <f t="shared" si="4"/>
        <v>0.88280000000000003</v>
      </c>
      <c r="L31" s="71"/>
      <c r="M31" s="14"/>
      <c r="O31" s="17"/>
      <c r="P31" s="16"/>
      <c r="Q31" s="16"/>
      <c r="R31" s="2"/>
    </row>
    <row r="32" spans="1:18" ht="13.5" x14ac:dyDescent="0.25">
      <c r="A32" s="69">
        <f>'Espesor E4'!A32</f>
        <v>24</v>
      </c>
      <c r="B32" s="70">
        <f>'Espesor E4'!B32</f>
        <v>1</v>
      </c>
      <c r="C32" s="70">
        <f>'Espesor E4'!C32</f>
        <v>1</v>
      </c>
      <c r="D32" s="70">
        <f>'Espesor E4'!J32</f>
        <v>0.12</v>
      </c>
      <c r="E32" s="70">
        <f>CEILING(IF(TYPE(VLOOKUP(A32,'Espesor Equivalente'!$A$75:$S$94,19,FALSE))=16,D32,VLOOKUP(A32,'Espesor Equivalente'!$A$75:$S$94,19,FALSE)),0.01)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0.2</v>
      </c>
      <c r="K32" s="71">
        <f t="shared" si="4"/>
        <v>0.88280000000000003</v>
      </c>
      <c r="L32" s="71"/>
      <c r="M32" s="14"/>
      <c r="O32" s="17"/>
      <c r="P32" s="16"/>
      <c r="Q32" s="16"/>
      <c r="R32" s="2"/>
    </row>
    <row r="33" spans="1:18" ht="13.5" x14ac:dyDescent="0.25">
      <c r="A33" s="69">
        <f>'Espesor E4'!A33</f>
        <v>25</v>
      </c>
      <c r="B33" s="70">
        <f>'Espesor E4'!B33</f>
        <v>1</v>
      </c>
      <c r="C33" s="70">
        <f>'Espesor E4'!C33</f>
        <v>1</v>
      </c>
      <c r="D33" s="70">
        <f>'Espesor E4'!J33</f>
        <v>0.12</v>
      </c>
      <c r="E33" s="70">
        <f>CEILING(IF(TYPE(VLOOKUP(A33,'Espesor Equivalente'!$A$75:$S$94,19,FALSE))=16,D33,VLOOKUP(A33,'Espesor Equivalente'!$A$75:$S$94,19,FALSE)),0.01)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0.2</v>
      </c>
      <c r="K33" s="71">
        <f t="shared" si="4"/>
        <v>0.88280000000000003</v>
      </c>
      <c r="L33" s="71"/>
      <c r="M33" s="14"/>
      <c r="O33" s="17"/>
      <c r="P33" s="16"/>
      <c r="Q33" s="16"/>
      <c r="R33" s="2"/>
    </row>
    <row r="34" spans="1:18" ht="13.5" x14ac:dyDescent="0.25">
      <c r="A34" s="69">
        <f>'Espesor E4'!A34</f>
        <v>26</v>
      </c>
      <c r="B34" s="70">
        <f>'Espesor E4'!B34</f>
        <v>1</v>
      </c>
      <c r="C34" s="70">
        <f>'Espesor E4'!C34</f>
        <v>1</v>
      </c>
      <c r="D34" s="70">
        <f>'Espesor E4'!J34</f>
        <v>0.12</v>
      </c>
      <c r="E34" s="70">
        <f>CEILING(IF(TYPE(VLOOKUP(A34,'Espesor Equivalente'!$A$75:$S$94,19,FALSE))=16,D34,VLOOKUP(A34,'Espesor Equivalente'!$A$75:$S$94,19,FALSE)),0.01)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0.2</v>
      </c>
      <c r="K34" s="71">
        <f t="shared" si="4"/>
        <v>0.88280000000000003</v>
      </c>
      <c r="L34" s="71"/>
      <c r="M34" s="14"/>
      <c r="O34" s="17"/>
      <c r="P34" s="16"/>
      <c r="Q34" s="16"/>
      <c r="R34" s="2"/>
    </row>
    <row r="35" spans="1:18" ht="13.5" x14ac:dyDescent="0.25">
      <c r="A35" s="69">
        <f>'Espesor E4'!A35</f>
        <v>27</v>
      </c>
      <c r="B35" s="70">
        <f>'Espesor E4'!B35</f>
        <v>1</v>
      </c>
      <c r="C35" s="70">
        <f>'Espesor E4'!C35</f>
        <v>1</v>
      </c>
      <c r="D35" s="70">
        <f>'Espesor E4'!J35</f>
        <v>0.12</v>
      </c>
      <c r="E35" s="70">
        <f>CEILING(IF(TYPE(VLOOKUP(A35,'Espesor Equivalente'!$A$75:$S$94,19,FALSE))=16,D35,VLOOKUP(A35,'Espesor Equivalente'!$A$75:$S$94,19,FALSE)),0.01)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0.2</v>
      </c>
      <c r="K35" s="71">
        <f t="shared" si="4"/>
        <v>0.88280000000000003</v>
      </c>
      <c r="L35" s="71"/>
      <c r="M35" s="14"/>
      <c r="O35" s="17"/>
      <c r="P35" s="16"/>
      <c r="Q35" s="16"/>
      <c r="R35" s="2"/>
    </row>
    <row r="36" spans="1:18" ht="13.5" x14ac:dyDescent="0.25">
      <c r="A36" s="69">
        <f>'Espesor E4'!A36</f>
        <v>28</v>
      </c>
      <c r="B36" s="70">
        <f>'Espesor E4'!B36</f>
        <v>1</v>
      </c>
      <c r="C36" s="70">
        <f>'Espesor E4'!C36</f>
        <v>1</v>
      </c>
      <c r="D36" s="70">
        <f>'Espesor E4'!J36</f>
        <v>0.12</v>
      </c>
      <c r="E36" s="70">
        <f>CEILING(IF(TYPE(VLOOKUP(A36,'Espesor Equivalente'!$A$75:$S$94,19,FALSE))=16,D36,VLOOKUP(A36,'Espesor Equivalente'!$A$75:$S$94,19,FALSE)),0.01)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0.2</v>
      </c>
      <c r="K36" s="71">
        <f t="shared" si="4"/>
        <v>0.88280000000000003</v>
      </c>
      <c r="L36" s="71"/>
      <c r="M36" s="14"/>
      <c r="O36" s="17"/>
      <c r="P36" s="16"/>
      <c r="Q36" s="16"/>
      <c r="R36" s="2"/>
    </row>
    <row r="37" spans="1:18" ht="13.5" x14ac:dyDescent="0.25">
      <c r="A37" s="69">
        <f>'Espesor E4'!A37</f>
        <v>29</v>
      </c>
      <c r="B37" s="70">
        <f>'Espesor E4'!B37</f>
        <v>1</v>
      </c>
      <c r="C37" s="70">
        <f>'Espesor E4'!C37</f>
        <v>1</v>
      </c>
      <c r="D37" s="70">
        <f>'Espesor E4'!J37</f>
        <v>0.12</v>
      </c>
      <c r="E37" s="70">
        <f>CEILING(IF(TYPE(VLOOKUP(A37,'Espesor Equivalente'!$A$75:$S$94,19,FALSE))=16,D37,VLOOKUP(A37,'Espesor Equivalente'!$A$75:$S$94,19,FALSE)),0.01)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0.2</v>
      </c>
      <c r="K37" s="71">
        <f t="shared" si="4"/>
        <v>0.88280000000000003</v>
      </c>
      <c r="L37" s="71"/>
      <c r="M37" s="14"/>
      <c r="O37" s="17"/>
      <c r="P37" s="16"/>
      <c r="Q37" s="16"/>
      <c r="R37" s="2"/>
    </row>
    <row r="38" spans="1:18" ht="13.5" x14ac:dyDescent="0.25">
      <c r="A38" s="69">
        <f>'Espesor E4'!A38</f>
        <v>30</v>
      </c>
      <c r="B38" s="70">
        <f>'Espesor E4'!B38</f>
        <v>1</v>
      </c>
      <c r="C38" s="70">
        <f>'Espesor E4'!C38</f>
        <v>1</v>
      </c>
      <c r="D38" s="70">
        <f>'Espesor E4'!J38</f>
        <v>0.12</v>
      </c>
      <c r="E38" s="70">
        <f>CEILING(IF(TYPE(VLOOKUP(A38,'Espesor Equivalente'!$A$75:$S$94,19,FALSE))=16,D38,VLOOKUP(A38,'Espesor Equivalente'!$A$75:$S$94,19,FALSE)),0.01)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0.2</v>
      </c>
      <c r="K38" s="71">
        <f t="shared" si="4"/>
        <v>0.88280000000000003</v>
      </c>
      <c r="L38" s="71"/>
      <c r="M38" s="14"/>
      <c r="O38" s="17"/>
      <c r="P38" s="16"/>
      <c r="Q38" s="16"/>
      <c r="R38" s="2"/>
    </row>
    <row r="39" spans="1:18" ht="13.5" x14ac:dyDescent="0.25">
      <c r="A39" s="69">
        <f>'Espesor E4'!A39</f>
        <v>31</v>
      </c>
      <c r="B39" s="70">
        <f>'Espesor E4'!B39</f>
        <v>1</v>
      </c>
      <c r="C39" s="70">
        <f>'Espesor E4'!C39</f>
        <v>1</v>
      </c>
      <c r="D39" s="70">
        <f>'Espesor E4'!J39</f>
        <v>0.12</v>
      </c>
      <c r="E39" s="70">
        <f>CEILING(IF(TYPE(VLOOKUP(A39,'Espesor Equivalente'!$A$75:$S$94,19,FALSE))=16,D39,VLOOKUP(A39,'Espesor Equivalente'!$A$75:$S$94,19,FALSE)),0.01)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0.2</v>
      </c>
      <c r="K39" s="71">
        <f t="shared" si="4"/>
        <v>0.88280000000000003</v>
      </c>
      <c r="L39" s="71"/>
      <c r="M39" s="14"/>
      <c r="O39" s="17"/>
      <c r="P39" s="16"/>
      <c r="Q39" s="16"/>
      <c r="R39" s="2"/>
    </row>
    <row r="40" spans="1:18" ht="13.5" x14ac:dyDescent="0.25">
      <c r="A40" s="69">
        <f>'Espesor E4'!A40</f>
        <v>32</v>
      </c>
      <c r="B40" s="70">
        <f>'Espesor E4'!B40</f>
        <v>1</v>
      </c>
      <c r="C40" s="70">
        <f>'Espesor E4'!C40</f>
        <v>1</v>
      </c>
      <c r="D40" s="70">
        <f>'Espesor E4'!J40</f>
        <v>0.12</v>
      </c>
      <c r="E40" s="70">
        <f>CEILING(IF(TYPE(VLOOKUP(A40,'Espesor Equivalente'!$A$75:$S$94,19,FALSE))=16,D40,VLOOKUP(A40,'Espesor Equivalente'!$A$75:$S$94,19,FALSE)),0.01)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0.2</v>
      </c>
      <c r="K40" s="71">
        <f t="shared" si="4"/>
        <v>0.88280000000000003</v>
      </c>
      <c r="L40" s="71"/>
      <c r="M40" s="14"/>
      <c r="O40" s="17"/>
      <c r="P40" s="16"/>
      <c r="Q40" s="16"/>
      <c r="R40" s="2"/>
    </row>
    <row r="41" spans="1:18" ht="13.5" x14ac:dyDescent="0.25">
      <c r="A41" s="69">
        <f>'Espesor E4'!A41</f>
        <v>33</v>
      </c>
      <c r="B41" s="70">
        <f>'Espesor E4'!B41</f>
        <v>1</v>
      </c>
      <c r="C41" s="70">
        <f>'Espesor E4'!C41</f>
        <v>1</v>
      </c>
      <c r="D41" s="70">
        <f>'Espesor E4'!J41</f>
        <v>0.12</v>
      </c>
      <c r="E41" s="70">
        <f>CEILING(IF(TYPE(VLOOKUP(A41,'Espesor Equivalente'!$A$75:$S$94,19,FALSE))=16,D41,VLOOKUP(A41,'Espesor Equivalente'!$A$75:$S$94,19,FALSE)),0.01)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0.2</v>
      </c>
      <c r="K41" s="71">
        <f t="shared" si="4"/>
        <v>0.88280000000000003</v>
      </c>
      <c r="L41" s="71"/>
      <c r="M41" s="14"/>
      <c r="O41" s="17"/>
      <c r="P41" s="16"/>
      <c r="Q41" s="16"/>
      <c r="R41" s="2"/>
    </row>
    <row r="42" spans="1:18" ht="13.5" x14ac:dyDescent="0.25">
      <c r="A42" s="69">
        <f>'Espesor E4'!A42</f>
        <v>34</v>
      </c>
      <c r="B42" s="70">
        <f>'Espesor E4'!B42</f>
        <v>1</v>
      </c>
      <c r="C42" s="70">
        <f>'Espesor E4'!C42</f>
        <v>1</v>
      </c>
      <c r="D42" s="70">
        <f>'Espesor E4'!J42</f>
        <v>0.12</v>
      </c>
      <c r="E42" s="70">
        <f>CEILING(IF(TYPE(VLOOKUP(A42,'Espesor Equivalente'!$A$75:$S$94,19,FALSE))=16,D42,VLOOKUP(A42,'Espesor Equivalente'!$A$75:$S$94,19,FALSE)),0.01)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0.2</v>
      </c>
      <c r="K42" s="71">
        <f t="shared" si="4"/>
        <v>0.88280000000000003</v>
      </c>
      <c r="L42" s="71"/>
      <c r="M42" s="14"/>
      <c r="O42" s="17"/>
      <c r="P42" s="16"/>
      <c r="Q42" s="16"/>
      <c r="R42" s="2"/>
    </row>
    <row r="43" spans="1:18" ht="13.5" x14ac:dyDescent="0.25">
      <c r="A43" s="69">
        <f>'Espesor E4'!A43</f>
        <v>35</v>
      </c>
      <c r="B43" s="70">
        <f>'Espesor E4'!B43</f>
        <v>1</v>
      </c>
      <c r="C43" s="70">
        <f>'Espesor E4'!C43</f>
        <v>1</v>
      </c>
      <c r="D43" s="70">
        <f>'Espesor E4'!J43</f>
        <v>0.12</v>
      </c>
      <c r="E43" s="70">
        <f>CEILING(IF(TYPE(VLOOKUP(A43,'Espesor Equivalente'!$A$75:$S$94,19,FALSE))=16,D43,VLOOKUP(A43,'Espesor Equivalente'!$A$75:$S$94,19,FALSE)),0.01)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0.2</v>
      </c>
      <c r="K43" s="71">
        <f t="shared" si="4"/>
        <v>0.88280000000000003</v>
      </c>
      <c r="L43" s="71"/>
      <c r="M43" s="14"/>
      <c r="O43" s="17"/>
      <c r="P43" s="16"/>
      <c r="Q43" s="16"/>
      <c r="R43" s="2"/>
    </row>
    <row r="44" spans="1:18" ht="13.5" x14ac:dyDescent="0.25">
      <c r="A44" s="69">
        <f>'Espesor E4'!A44</f>
        <v>36</v>
      </c>
      <c r="B44" s="70">
        <f>'Espesor E4'!B44</f>
        <v>1</v>
      </c>
      <c r="C44" s="70">
        <f>'Espesor E4'!C44</f>
        <v>1</v>
      </c>
      <c r="D44" s="70">
        <f>'Espesor E4'!J44</f>
        <v>0.12</v>
      </c>
      <c r="E44" s="70">
        <f>CEILING(IF(TYPE(VLOOKUP(A44,'Espesor Equivalente'!$A$75:$S$94,19,FALSE))=16,D44,VLOOKUP(A44,'Espesor Equivalente'!$A$75:$S$94,19,FALSE)),0.01)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0.2</v>
      </c>
      <c r="K44" s="71">
        <f t="shared" si="4"/>
        <v>0.88280000000000003</v>
      </c>
      <c r="L44" s="71"/>
      <c r="M44" s="14"/>
      <c r="O44" s="6"/>
      <c r="P44" s="16"/>
      <c r="Q44" s="16"/>
      <c r="R44" s="2"/>
    </row>
    <row r="45" spans="1:18" ht="13.5" x14ac:dyDescent="0.25">
      <c r="A45" s="69">
        <f>'Espesor E4'!A45</f>
        <v>37</v>
      </c>
      <c r="B45" s="70">
        <f>'Espesor E4'!B45</f>
        <v>1</v>
      </c>
      <c r="C45" s="70">
        <f>'Espesor E4'!C45</f>
        <v>1</v>
      </c>
      <c r="D45" s="70">
        <f>'Espesor E4'!J45</f>
        <v>0.12</v>
      </c>
      <c r="E45" s="70">
        <f>CEILING(IF(TYPE(VLOOKUP(A45,'Espesor Equivalente'!$A$75:$S$94,19,FALSE))=16,D45,VLOOKUP(A45,'Espesor Equivalente'!$A$75:$S$94,19,FALSE)),0.01)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0.2</v>
      </c>
      <c r="K45" s="71">
        <f t="shared" si="4"/>
        <v>0.88280000000000003</v>
      </c>
      <c r="L45" s="71"/>
      <c r="M45" s="14"/>
      <c r="O45" s="17"/>
      <c r="P45" s="16"/>
      <c r="Q45" s="16"/>
      <c r="R45" s="2"/>
    </row>
    <row r="46" spans="1:18" ht="13.5" x14ac:dyDescent="0.25">
      <c r="A46" s="69">
        <f>'Espesor E4'!A46</f>
        <v>38</v>
      </c>
      <c r="B46" s="70">
        <f>'Espesor E4'!B46</f>
        <v>1</v>
      </c>
      <c r="C46" s="70">
        <f>'Espesor E4'!C46</f>
        <v>1</v>
      </c>
      <c r="D46" s="70">
        <f>'Espesor E4'!J46</f>
        <v>0.12</v>
      </c>
      <c r="E46" s="70">
        <f>CEILING(IF(TYPE(VLOOKUP(A46,'Espesor Equivalente'!$A$75:$S$94,19,FALSE))=16,D46,VLOOKUP(A46,'Espesor Equivalente'!$A$75:$S$94,19,FALSE)),0.01)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0.2</v>
      </c>
      <c r="K46" s="71">
        <f t="shared" si="4"/>
        <v>0.88280000000000003</v>
      </c>
      <c r="L46" s="71"/>
      <c r="M46" s="14"/>
      <c r="O46" s="17"/>
      <c r="P46" s="16"/>
      <c r="Q46" s="16"/>
      <c r="R46" s="2"/>
    </row>
    <row r="47" spans="1:18" ht="13.5" x14ac:dyDescent="0.25">
      <c r="A47" s="69">
        <f>'Espesor E4'!A47</f>
        <v>39</v>
      </c>
      <c r="B47" s="70">
        <f>'Espesor E4'!B47</f>
        <v>1</v>
      </c>
      <c r="C47" s="70">
        <f>'Espesor E4'!C47</f>
        <v>1</v>
      </c>
      <c r="D47" s="70">
        <f>'Espesor E4'!J47</f>
        <v>0.12</v>
      </c>
      <c r="E47" s="70">
        <f>CEILING(IF(TYPE(VLOOKUP(A47,'Espesor Equivalente'!$A$75:$S$94,19,FALSE))=16,D47,VLOOKUP(A47,'Espesor Equivalente'!$A$75:$S$94,19,FALSE)),0.01)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0.2</v>
      </c>
      <c r="K47" s="71">
        <f t="shared" si="4"/>
        <v>0.88280000000000003</v>
      </c>
      <c r="L47" s="71"/>
      <c r="M47" s="14"/>
      <c r="O47" s="6"/>
      <c r="P47" s="16"/>
      <c r="Q47" s="16"/>
      <c r="R47" s="2"/>
    </row>
    <row r="48" spans="1:18" ht="13.5" x14ac:dyDescent="0.25">
      <c r="A48" s="69">
        <f>'Espesor E4'!A48</f>
        <v>40</v>
      </c>
      <c r="B48" s="70">
        <f>'Espesor E4'!B48</f>
        <v>1</v>
      </c>
      <c r="C48" s="70">
        <f>'Espesor E4'!C48</f>
        <v>1</v>
      </c>
      <c r="D48" s="70">
        <f>'Espesor E4'!J48</f>
        <v>0.12</v>
      </c>
      <c r="E48" s="70">
        <f>CEILING(IF(TYPE(VLOOKUP(A48,'Espesor Equivalente'!$A$75:$S$94,19,FALSE))=16,D48,VLOOKUP(A48,'Espesor Equivalente'!$A$75:$S$94,19,FALSE)),0.01)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0.2</v>
      </c>
      <c r="K48" s="71">
        <f t="shared" si="4"/>
        <v>0.88280000000000003</v>
      </c>
      <c r="L48" s="71"/>
      <c r="M48" s="14"/>
      <c r="O48" s="17"/>
      <c r="P48" s="16"/>
      <c r="Q48" s="16"/>
      <c r="R48" s="2"/>
    </row>
    <row r="49" spans="1:18" ht="13.5" x14ac:dyDescent="0.25">
      <c r="A49" s="69">
        <f>'Espesor E4'!A49</f>
        <v>41</v>
      </c>
      <c r="B49" s="70">
        <f>'Espesor E4'!B49</f>
        <v>1</v>
      </c>
      <c r="C49" s="70">
        <f>'Espesor E4'!C49</f>
        <v>1</v>
      </c>
      <c r="D49" s="70">
        <f>'Espesor E4'!J49</f>
        <v>0.12</v>
      </c>
      <c r="E49" s="70">
        <f>CEILING(IF(TYPE(VLOOKUP(A49,'Espesor Equivalente'!$A$75:$S$94,19,FALSE))=16,D49,VLOOKUP(A49,'Espesor Equivalente'!$A$75:$S$94,19,FALSE)),0.01)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0.2</v>
      </c>
      <c r="K49" s="71">
        <f t="shared" si="4"/>
        <v>0.88280000000000003</v>
      </c>
      <c r="L49" s="71"/>
      <c r="M49" s="14"/>
      <c r="O49" s="17"/>
      <c r="P49" s="16"/>
      <c r="Q49" s="16"/>
      <c r="R49" s="2"/>
    </row>
    <row r="50" spans="1:18" ht="13.5" x14ac:dyDescent="0.25">
      <c r="A50" s="69">
        <f>'Espesor E4'!A50</f>
        <v>42</v>
      </c>
      <c r="B50" s="70">
        <f>'Espesor E4'!B50</f>
        <v>1</v>
      </c>
      <c r="C50" s="70">
        <f>'Espesor E4'!C50</f>
        <v>1</v>
      </c>
      <c r="D50" s="70">
        <f>'Espesor E4'!J50</f>
        <v>0.12</v>
      </c>
      <c r="E50" s="70">
        <f>CEILING(IF(TYPE(VLOOKUP(A50,'Espesor Equivalente'!$A$75:$S$94,19,FALSE))=16,D50,VLOOKUP(A50,'Espesor Equivalente'!$A$75:$S$94,19,FALSE)),0.01)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0.2</v>
      </c>
      <c r="K50" s="71">
        <f t="shared" si="4"/>
        <v>0.88280000000000003</v>
      </c>
      <c r="L50" s="71"/>
      <c r="M50" s="14"/>
      <c r="O50" s="6"/>
      <c r="P50" s="16"/>
      <c r="Q50" s="16"/>
      <c r="R50" s="2"/>
    </row>
    <row r="51" spans="1:18" ht="13.5" x14ac:dyDescent="0.25">
      <c r="A51" s="69">
        <f>'Espesor E4'!A51</f>
        <v>43</v>
      </c>
      <c r="B51" s="70">
        <f>'Espesor E4'!B51</f>
        <v>1</v>
      </c>
      <c r="C51" s="70">
        <f>'Espesor E4'!C51</f>
        <v>1</v>
      </c>
      <c r="D51" s="70">
        <f>'Espesor E4'!J51</f>
        <v>0.12</v>
      </c>
      <c r="E51" s="70">
        <f>CEILING(IF(TYPE(VLOOKUP(A51,'Espesor Equivalente'!$A$75:$S$94,19,FALSE))=16,D51,VLOOKUP(A51,'Espesor Equivalente'!$A$75:$S$94,19,FALSE)),0.01)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0.2</v>
      </c>
      <c r="K51" s="71">
        <f t="shared" si="4"/>
        <v>0.88280000000000003</v>
      </c>
      <c r="L51" s="71"/>
      <c r="M51" s="14"/>
      <c r="O51" s="17"/>
      <c r="P51" s="16"/>
      <c r="Q51" s="16"/>
      <c r="R51" s="2"/>
    </row>
    <row r="52" spans="1:18" ht="13.5" x14ac:dyDescent="0.25">
      <c r="A52" s="69">
        <f>'Espesor E4'!A52</f>
        <v>44</v>
      </c>
      <c r="B52" s="70">
        <f>'Espesor E4'!B52</f>
        <v>1</v>
      </c>
      <c r="C52" s="70">
        <f>'Espesor E4'!C52</f>
        <v>1</v>
      </c>
      <c r="D52" s="70">
        <f>'Espesor E4'!J52</f>
        <v>0.12</v>
      </c>
      <c r="E52" s="70">
        <f>CEILING(IF(TYPE(VLOOKUP(A52,'Espesor Equivalente'!$A$75:$S$94,19,FALSE))=16,D52,VLOOKUP(A52,'Espesor Equivalente'!$A$75:$S$94,19,FALSE)),0.01)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0.2</v>
      </c>
      <c r="K52" s="71">
        <f t="shared" si="4"/>
        <v>0.88280000000000003</v>
      </c>
      <c r="L52" s="71"/>
      <c r="M52" s="14"/>
      <c r="O52" s="6"/>
      <c r="P52" s="16"/>
      <c r="Q52" s="16"/>
      <c r="R52" s="2"/>
    </row>
    <row r="53" spans="1:18" ht="13.5" x14ac:dyDescent="0.25">
      <c r="A53" s="69">
        <f>'Espesor E4'!A53</f>
        <v>45</v>
      </c>
      <c r="B53" s="70">
        <f>'Espesor E4'!B53</f>
        <v>1</v>
      </c>
      <c r="C53" s="70">
        <f>'Espesor E4'!C53</f>
        <v>1</v>
      </c>
      <c r="D53" s="70">
        <f>'Espesor E4'!J53</f>
        <v>0.12</v>
      </c>
      <c r="E53" s="70">
        <f>CEILING(IF(TYPE(VLOOKUP(A53,'Espesor Equivalente'!$A$75:$S$94,19,FALSE))=16,D53,VLOOKUP(A53,'Espesor Equivalente'!$A$75:$S$94,19,FALSE)),0.01)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0.2</v>
      </c>
      <c r="K53" s="71">
        <f t="shared" si="4"/>
        <v>0.88280000000000003</v>
      </c>
      <c r="L53" s="71"/>
      <c r="M53" s="14"/>
      <c r="O53" s="17"/>
      <c r="P53" s="16"/>
      <c r="Q53" s="16"/>
      <c r="R53" s="2"/>
    </row>
    <row r="54" spans="1:18" ht="13.5" x14ac:dyDescent="0.25">
      <c r="A54" s="69">
        <f>'Espesor E4'!A54</f>
        <v>46</v>
      </c>
      <c r="B54" s="70">
        <f>'Espesor E4'!B54</f>
        <v>1</v>
      </c>
      <c r="C54" s="70">
        <f>'Espesor E4'!C54</f>
        <v>1</v>
      </c>
      <c r="D54" s="70">
        <f>'Espesor E4'!J54</f>
        <v>0.12</v>
      </c>
      <c r="E54" s="70">
        <f>CEILING(IF(TYPE(VLOOKUP(A54,'Espesor Equivalente'!$A$75:$S$94,19,FALSE))=16,D54,VLOOKUP(A54,'Espesor Equivalente'!$A$75:$S$94,19,FALSE)),0.01)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0.2</v>
      </c>
      <c r="K54" s="71">
        <f t="shared" si="4"/>
        <v>0.88280000000000003</v>
      </c>
      <c r="L54" s="71"/>
      <c r="M54" s="14"/>
      <c r="O54" s="6"/>
      <c r="P54" s="16"/>
      <c r="Q54" s="16"/>
      <c r="R54" s="2"/>
    </row>
    <row r="55" spans="1:18" ht="13.5" x14ac:dyDescent="0.25">
      <c r="A55" s="69">
        <f>'Espesor E4'!A55</f>
        <v>47</v>
      </c>
      <c r="B55" s="70">
        <f>'Espesor E4'!B55</f>
        <v>1</v>
      </c>
      <c r="C55" s="70">
        <f>'Espesor E4'!C55</f>
        <v>1</v>
      </c>
      <c r="D55" s="70">
        <f>'Espesor E4'!J55</f>
        <v>0.12</v>
      </c>
      <c r="E55" s="70">
        <f>CEILING(IF(TYPE(VLOOKUP(A55,'Espesor Equivalente'!$A$75:$S$94,19,FALSE))=16,D55,VLOOKUP(A55,'Espesor Equivalente'!$A$75:$S$94,19,FALSE)),0.01)</f>
        <v>0.12</v>
      </c>
      <c r="F55" s="20">
        <f t="shared" si="1"/>
        <v>1</v>
      </c>
      <c r="G55" s="80">
        <f t="shared" si="2"/>
        <v>0</v>
      </c>
      <c r="H55" s="20">
        <f t="shared" si="3"/>
        <v>0</v>
      </c>
      <c r="I55" s="20">
        <f>VLOOKUP(E55,Cargas!$D$8:$G$23,4,TRUE)+H55</f>
        <v>0.46899999999999997</v>
      </c>
      <c r="J55" s="75">
        <f t="shared" si="0"/>
        <v>0.2</v>
      </c>
      <c r="K55" s="71">
        <f t="shared" si="4"/>
        <v>0.88280000000000003</v>
      </c>
      <c r="L55" s="71"/>
      <c r="M55" s="14"/>
      <c r="O55" s="17"/>
      <c r="P55" s="16"/>
      <c r="Q55" s="16"/>
      <c r="R55" s="2"/>
    </row>
    <row r="56" spans="1:18" ht="13.5" x14ac:dyDescent="0.25">
      <c r="A56" s="69">
        <f>'Espesor E4'!A56</f>
        <v>48</v>
      </c>
      <c r="B56" s="70">
        <f>'Espesor E4'!B56</f>
        <v>1</v>
      </c>
      <c r="C56" s="70">
        <f>'Espesor E4'!C56</f>
        <v>1</v>
      </c>
      <c r="D56" s="70">
        <f>'Espesor E4'!J56</f>
        <v>0.12</v>
      </c>
      <c r="E56" s="70">
        <f>CEILING(IF(TYPE(VLOOKUP(A56,'Espesor Equivalente'!$A$75:$S$94,19,FALSE))=16,D56,VLOOKUP(A56,'Espesor Equivalente'!$A$75:$S$94,19,FALSE)),0.01)</f>
        <v>0.12</v>
      </c>
      <c r="F56" s="20">
        <f t="shared" si="1"/>
        <v>1</v>
      </c>
      <c r="G56" s="80">
        <f t="shared" si="2"/>
        <v>0</v>
      </c>
      <c r="H56" s="20">
        <f t="shared" si="3"/>
        <v>0</v>
      </c>
      <c r="I56" s="20">
        <f>VLOOKUP(E56,Cargas!$D$8:$G$23,4,TRUE)+H56</f>
        <v>0.46899999999999997</v>
      </c>
      <c r="J56" s="75">
        <f t="shared" si="0"/>
        <v>0.2</v>
      </c>
      <c r="K56" s="71">
        <f t="shared" si="4"/>
        <v>0.88280000000000003</v>
      </c>
      <c r="L56" s="71"/>
      <c r="M56" s="14"/>
      <c r="O56" s="17"/>
      <c r="P56" s="16"/>
      <c r="Q56" s="16"/>
      <c r="R56" s="2"/>
    </row>
    <row r="57" spans="1:18" ht="13.5" x14ac:dyDescent="0.25">
      <c r="A57" s="69">
        <f>'Espesor E4'!A57</f>
        <v>49</v>
      </c>
      <c r="B57" s="70">
        <f>'Espesor E4'!B57</f>
        <v>1</v>
      </c>
      <c r="C57" s="70">
        <f>'Espesor E4'!C57</f>
        <v>1</v>
      </c>
      <c r="D57" s="70">
        <f>'Espesor E4'!J57</f>
        <v>0.12</v>
      </c>
      <c r="E57" s="70">
        <f>CEILING(IF(TYPE(VLOOKUP(A57,'Espesor Equivalente'!$A$75:$S$94,19,FALSE))=16,D57,VLOOKUP(A57,'Espesor Equivalente'!$A$75:$S$94,19,FALSE)),0.01)</f>
        <v>0.12</v>
      </c>
      <c r="F57" s="20">
        <f t="shared" si="1"/>
        <v>1</v>
      </c>
      <c r="G57" s="80">
        <f t="shared" si="2"/>
        <v>0</v>
      </c>
      <c r="H57" s="20">
        <f t="shared" si="3"/>
        <v>0</v>
      </c>
      <c r="I57" s="20">
        <f>VLOOKUP(E57,Cargas!$D$8:$G$23,4,TRUE)+H57</f>
        <v>0.46899999999999997</v>
      </c>
      <c r="J57" s="75">
        <f t="shared" si="0"/>
        <v>0.2</v>
      </c>
      <c r="K57" s="71">
        <f t="shared" si="4"/>
        <v>0.88280000000000003</v>
      </c>
      <c r="L57" s="71"/>
      <c r="M57" s="14"/>
      <c r="O57" s="17"/>
      <c r="P57" s="16"/>
      <c r="Q57" s="16"/>
      <c r="R57" s="2"/>
    </row>
    <row r="58" spans="1:18" ht="13.5" x14ac:dyDescent="0.25">
      <c r="A58" s="69">
        <f>'Espesor E4'!A58</f>
        <v>50</v>
      </c>
      <c r="B58" s="70">
        <f>'Espesor E4'!B58</f>
        <v>1</v>
      </c>
      <c r="C58" s="70">
        <f>'Espesor E4'!C58</f>
        <v>1</v>
      </c>
      <c r="D58" s="70">
        <f>'Espesor E4'!J58</f>
        <v>0.12</v>
      </c>
      <c r="E58" s="70">
        <f>CEILING(IF(TYPE(VLOOKUP(A58,'Espesor Equivalente'!$A$75:$S$94,19,FALSE))=16,D58,VLOOKUP(A58,'Espesor Equivalente'!$A$75:$S$94,19,FALSE)),0.01)</f>
        <v>0.12</v>
      </c>
      <c r="F58" s="20">
        <f t="shared" si="1"/>
        <v>1</v>
      </c>
      <c r="G58" s="80">
        <f t="shared" si="2"/>
        <v>0</v>
      </c>
      <c r="H58" s="20">
        <f t="shared" si="3"/>
        <v>0</v>
      </c>
      <c r="I58" s="20">
        <f>VLOOKUP(E58,Cargas!$D$8:$G$23,4,TRUE)+H58</f>
        <v>0.46899999999999997</v>
      </c>
      <c r="J58" s="75">
        <f t="shared" si="0"/>
        <v>0.2</v>
      </c>
      <c r="K58" s="71">
        <f t="shared" si="4"/>
        <v>0.88280000000000003</v>
      </c>
      <c r="L58" s="71"/>
      <c r="M58" s="14"/>
      <c r="O58" s="17"/>
      <c r="P58" s="16"/>
      <c r="Q58" s="16"/>
      <c r="R58" s="2"/>
    </row>
    <row r="59" spans="1:18" ht="13.5" x14ac:dyDescent="0.25">
      <c r="I59" s="74">
        <f>AVERAGE(I9:I58)</f>
        <v>0.46900000000000019</v>
      </c>
      <c r="J59" s="74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6CC0-822D-4D83-9276-BEBC91F00D0E}">
  <sheetPr codeName="Hoja26"/>
  <dimension ref="A1:S59"/>
  <sheetViews>
    <sheetView zoomScaleNormal="100" workbookViewId="0">
      <selection activeCell="S1" sqref="S1:S65536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.28515625" bestFit="1" customWidth="1"/>
    <col min="5" max="5" width="9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570312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>Carga E5</v>
      </c>
    </row>
    <row r="2" spans="1:19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E5'!G2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E5</v>
      </c>
    </row>
    <row r="3" spans="1:19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E5'!J3:J4</f>
        <v>2</v>
      </c>
      <c r="L3" s="93"/>
    </row>
    <row r="4" spans="1:19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>Carga de Losas  E5</v>
      </c>
      <c r="H4" s="224"/>
      <c r="I4" s="224"/>
      <c r="J4" s="225"/>
      <c r="K4" s="203"/>
      <c r="L4" s="93"/>
    </row>
    <row r="5" spans="1:19" ht="13.5" x14ac:dyDescent="0.25">
      <c r="A5" s="61"/>
      <c r="B5" s="1"/>
      <c r="C5" s="1"/>
      <c r="D5" s="1"/>
      <c r="E5" s="1"/>
      <c r="F5" s="61"/>
      <c r="G5" s="61"/>
      <c r="H5" s="61"/>
      <c r="I5" s="61"/>
      <c r="J5" s="61"/>
      <c r="K5" s="61"/>
      <c r="L5" s="3"/>
    </row>
    <row r="6" spans="1:19" ht="13.5" x14ac:dyDescent="0.25">
      <c r="A6" s="19" t="s">
        <v>53</v>
      </c>
      <c r="B6" s="62">
        <f>COUNT(A9:A58)</f>
        <v>50</v>
      </c>
      <c r="C6" s="19" t="s">
        <v>42</v>
      </c>
      <c r="D6" s="1">
        <f>'Espesor E5'!D6</f>
        <v>4200</v>
      </c>
      <c r="E6" s="63">
        <f>'Espesor Earlette'!D6</f>
        <v>4200</v>
      </c>
      <c r="F6" s="61" t="s">
        <v>43</v>
      </c>
      <c r="G6" s="1"/>
      <c r="H6" s="1"/>
      <c r="I6" s="61"/>
      <c r="J6" s="61"/>
      <c r="K6" s="61"/>
      <c r="L6" s="3"/>
      <c r="M6" s="230" t="s">
        <v>119</v>
      </c>
      <c r="N6" s="230"/>
      <c r="O6" s="230"/>
      <c r="P6" s="230"/>
    </row>
    <row r="7" spans="1:19" ht="14.25" thickBot="1" x14ac:dyDescent="0.3">
      <c r="A7" s="1"/>
      <c r="B7" s="1"/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L7" s="61"/>
      <c r="M7" s="230"/>
      <c r="N7" s="230"/>
      <c r="O7" s="230"/>
      <c r="P7" s="230"/>
    </row>
    <row r="8" spans="1:19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109</v>
      </c>
      <c r="G8" s="66" t="s">
        <v>56</v>
      </c>
      <c r="H8" s="66" t="s">
        <v>110</v>
      </c>
      <c r="I8" s="66" t="s">
        <v>111</v>
      </c>
      <c r="J8" s="67" t="s">
        <v>112</v>
      </c>
      <c r="K8" s="68" t="s">
        <v>113</v>
      </c>
      <c r="L8" s="91"/>
      <c r="M8" s="91" t="s">
        <v>120</v>
      </c>
      <c r="N8" s="85">
        <v>20</v>
      </c>
      <c r="O8" s="85">
        <v>15</v>
      </c>
      <c r="P8" s="85">
        <v>10</v>
      </c>
    </row>
    <row r="9" spans="1:19" ht="13.5" x14ac:dyDescent="0.25">
      <c r="A9" s="69">
        <f>'Espesor E5'!A9</f>
        <v>1</v>
      </c>
      <c r="B9" s="70">
        <f>'Espesor E5'!B9</f>
        <v>1</v>
      </c>
      <c r="C9" s="70">
        <f>'Espesor E5'!C9</f>
        <v>1</v>
      </c>
      <c r="D9" s="70">
        <f>'Espesor E5'!J9</f>
        <v>0.12</v>
      </c>
      <c r="E9" s="70">
        <f>CEILING(IF(TYPE(VLOOKUP(A9,'Espesor Equivalente'!$A$96:$S$115,19,FALSE))=16,D9,VLOOKUP(A9,'Espesor Equivalente'!$A$96:$S$115,19,FALSE)),0.01)</f>
        <v>0.12</v>
      </c>
      <c r="F9" s="20">
        <f>B9*C9</f>
        <v>1</v>
      </c>
      <c r="G9" s="80">
        <f>1.8*IF(M9=0,2.8-D9,M9-D9)*(0.2*N9+0.15*O9+0.1*P9)</f>
        <v>0</v>
      </c>
      <c r="H9" s="20">
        <f>IF(G9=0,0,MAX(0.1,G9/F9))</f>
        <v>0</v>
      </c>
      <c r="I9" s="20">
        <f>VLOOKUP(E9,Cargas!$D$8:$G$23,4,TRUE)+H9</f>
        <v>0.46899999999999997</v>
      </c>
      <c r="J9" s="75">
        <f t="shared" ref="J9:J58" si="0">qle</f>
        <v>0.2</v>
      </c>
      <c r="K9" s="71">
        <f>$I$7*I9+$J$7*J9</f>
        <v>0.88280000000000003</v>
      </c>
      <c r="L9" s="71"/>
      <c r="M9" s="14"/>
    </row>
    <row r="10" spans="1:19" ht="13.5" x14ac:dyDescent="0.25">
      <c r="A10" s="69">
        <f>'Espesor E5'!A10</f>
        <v>2</v>
      </c>
      <c r="B10" s="70">
        <f>'Espesor E5'!B10</f>
        <v>1</v>
      </c>
      <c r="C10" s="70">
        <f>'Espesor E5'!C10</f>
        <v>1</v>
      </c>
      <c r="D10" s="70">
        <f>'Espesor E5'!J10</f>
        <v>0.12</v>
      </c>
      <c r="E10" s="70">
        <f>CEILING(IF(TYPE(VLOOKUP(A10,'Espesor Equivalente'!$A$96:$S$115,19,FALSE))=16,D10,VLOOKUP(A10,'Espesor Equivalente'!$A$96:$S$115,19,FALSE)),0.01)</f>
        <v>0.12</v>
      </c>
      <c r="F10" s="20">
        <f t="shared" ref="F10:F58" si="1">B10*C10</f>
        <v>1</v>
      </c>
      <c r="G10" s="80">
        <f t="shared" ref="G10:G58" si="2">1.8*IF(M10=0,2.8-D10,M10-D10)*(0.2*N10+0.15*O10+0.1*P10)</f>
        <v>0</v>
      </c>
      <c r="H10" s="20">
        <f t="shared" ref="H10:H58" si="3">IF(G10=0,0,MAX(0.1,G10/F10))</f>
        <v>0</v>
      </c>
      <c r="I10" s="20">
        <f>VLOOKUP(E10,Cargas!$D$8:$G$23,4,TRUE)+H10</f>
        <v>0.46899999999999997</v>
      </c>
      <c r="J10" s="75">
        <f t="shared" si="0"/>
        <v>0.2</v>
      </c>
      <c r="K10" s="71">
        <f t="shared" ref="K10:K58" si="4">$I$7*I10+$J$7*J10</f>
        <v>0.88280000000000003</v>
      </c>
      <c r="L10" s="71"/>
      <c r="M10" s="14"/>
    </row>
    <row r="11" spans="1:19" ht="13.5" x14ac:dyDescent="0.25">
      <c r="A11" s="69">
        <f>'Espesor E5'!A11</f>
        <v>3</v>
      </c>
      <c r="B11" s="70">
        <f>'Espesor E5'!B11</f>
        <v>1</v>
      </c>
      <c r="C11" s="70">
        <f>'Espesor E5'!C11</f>
        <v>1</v>
      </c>
      <c r="D11" s="70">
        <f>'Espesor E5'!J11</f>
        <v>0.12</v>
      </c>
      <c r="E11" s="70">
        <f>CEILING(IF(TYPE(VLOOKUP(A11,'Espesor Equivalente'!$A$96:$S$115,19,FALSE))=16,D11,VLOOKUP(A11,'Espesor Equivalente'!$A$96:$S$115,19,FALSE)),0.01)</f>
        <v>0.12</v>
      </c>
      <c r="F11" s="20">
        <f t="shared" si="1"/>
        <v>1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0.2</v>
      </c>
      <c r="K11" s="71">
        <f t="shared" si="4"/>
        <v>0.88280000000000003</v>
      </c>
      <c r="L11" s="71"/>
      <c r="M11" s="14"/>
      <c r="Q11" s="16"/>
      <c r="R11" s="231"/>
      <c r="S11" s="231"/>
    </row>
    <row r="12" spans="1:19" ht="13.5" x14ac:dyDescent="0.25">
      <c r="A12" s="69">
        <f>'Espesor E5'!A12</f>
        <v>4</v>
      </c>
      <c r="B12" s="70">
        <f>'Espesor E5'!B12</f>
        <v>1</v>
      </c>
      <c r="C12" s="70">
        <f>'Espesor E5'!C12</f>
        <v>1</v>
      </c>
      <c r="D12" s="70">
        <f>'Espesor E5'!J12</f>
        <v>0.12</v>
      </c>
      <c r="E12" s="70">
        <f>CEILING(IF(TYPE(VLOOKUP(A12,'Espesor Equivalente'!$A$96:$S$115,19,FALSE))=16,D12,VLOOKUP(A12,'Espesor Equivalente'!$A$96:$S$115,19,FALSE)),0.01)</f>
        <v>0.12</v>
      </c>
      <c r="F12" s="20">
        <f t="shared" si="1"/>
        <v>1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0.2</v>
      </c>
      <c r="K12" s="71">
        <f t="shared" si="4"/>
        <v>0.88280000000000003</v>
      </c>
      <c r="L12" s="71"/>
      <c r="M12" s="14"/>
      <c r="O12" s="6"/>
      <c r="P12" s="6"/>
      <c r="Q12" s="6"/>
      <c r="R12" s="6"/>
      <c r="S12" s="6"/>
    </row>
    <row r="13" spans="1:19" ht="13.5" x14ac:dyDescent="0.25">
      <c r="A13" s="69">
        <f>'Espesor E5'!A13</f>
        <v>5</v>
      </c>
      <c r="B13" s="70">
        <f>'Espesor E5'!B13</f>
        <v>1</v>
      </c>
      <c r="C13" s="70">
        <f>'Espesor E5'!C13</f>
        <v>1</v>
      </c>
      <c r="D13" s="70">
        <f>'Espesor E5'!J13</f>
        <v>0.12</v>
      </c>
      <c r="E13" s="70">
        <f>CEILING(IF(TYPE(VLOOKUP(A13,'Espesor Equivalente'!$A$96:$S$115,19,FALSE))=16,D13,VLOOKUP(A13,'Espesor Equivalente'!$A$96:$S$115,19,FALSE)),0.01)</f>
        <v>0.12</v>
      </c>
      <c r="F13" s="20">
        <f t="shared" si="1"/>
        <v>1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0.2</v>
      </c>
      <c r="K13" s="71">
        <f t="shared" si="4"/>
        <v>0.88280000000000003</v>
      </c>
      <c r="L13" s="71"/>
      <c r="M13" s="14"/>
      <c r="O13" s="6"/>
      <c r="P13" s="16"/>
      <c r="Q13" s="16"/>
      <c r="R13" s="2"/>
    </row>
    <row r="14" spans="1:19" ht="13.5" x14ac:dyDescent="0.25">
      <c r="A14" s="69">
        <f>'Espesor E5'!A14</f>
        <v>6</v>
      </c>
      <c r="B14" s="70">
        <f>'Espesor E5'!B14</f>
        <v>1</v>
      </c>
      <c r="C14" s="70">
        <f>'Espesor E5'!C14</f>
        <v>1</v>
      </c>
      <c r="D14" s="70">
        <f>'Espesor E5'!J14</f>
        <v>0.12</v>
      </c>
      <c r="E14" s="70">
        <f>CEILING(IF(TYPE(VLOOKUP(A14,'Espesor Equivalente'!$A$96:$S$115,19,FALSE))=16,D14,VLOOKUP(A14,'Espesor Equivalente'!$A$96:$S$115,19,FALSE)),0.01)</f>
        <v>0.12</v>
      </c>
      <c r="F14" s="20">
        <f t="shared" si="1"/>
        <v>1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0.2</v>
      </c>
      <c r="K14" s="71">
        <f t="shared" si="4"/>
        <v>0.88280000000000003</v>
      </c>
      <c r="L14" s="71"/>
      <c r="M14" s="14"/>
      <c r="O14" s="17"/>
      <c r="P14" s="16"/>
      <c r="Q14" s="16"/>
      <c r="R14" s="2"/>
    </row>
    <row r="15" spans="1:19" ht="13.5" x14ac:dyDescent="0.25">
      <c r="A15" s="69">
        <f>'Espesor E5'!A15</f>
        <v>7</v>
      </c>
      <c r="B15" s="70">
        <f>'Espesor E5'!B15</f>
        <v>1</v>
      </c>
      <c r="C15" s="70">
        <f>'Espesor E5'!C15</f>
        <v>1</v>
      </c>
      <c r="D15" s="70">
        <f>'Espesor E5'!J15</f>
        <v>0.12</v>
      </c>
      <c r="E15" s="70">
        <f>CEILING(IF(TYPE(VLOOKUP(A15,'Espesor Equivalente'!$A$96:$S$115,19,FALSE))=16,D15,VLOOKUP(A15,'Espesor Equivalente'!$A$96:$S$115,19,FALSE)),0.01)</f>
        <v>0.12</v>
      </c>
      <c r="F15" s="20">
        <f t="shared" si="1"/>
        <v>1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0.46899999999999997</v>
      </c>
      <c r="J15" s="75">
        <f t="shared" si="0"/>
        <v>0.2</v>
      </c>
      <c r="K15" s="71">
        <f t="shared" si="4"/>
        <v>0.88280000000000003</v>
      </c>
      <c r="L15" s="71"/>
      <c r="M15" s="14"/>
      <c r="O15" s="17"/>
      <c r="P15" s="16"/>
      <c r="Q15" s="16"/>
      <c r="R15" s="2"/>
    </row>
    <row r="16" spans="1:19" ht="13.5" x14ac:dyDescent="0.25">
      <c r="A16" s="69">
        <f>'Espesor E5'!A16</f>
        <v>8</v>
      </c>
      <c r="B16" s="70">
        <f>'Espesor E5'!B16</f>
        <v>1</v>
      </c>
      <c r="C16" s="70">
        <f>'Espesor E5'!C16</f>
        <v>1</v>
      </c>
      <c r="D16" s="70">
        <f>'Espesor E5'!J16</f>
        <v>0.12</v>
      </c>
      <c r="E16" s="70">
        <f>CEILING(IF(TYPE(VLOOKUP(A16,'Espesor Equivalente'!$A$96:$S$115,19,FALSE))=16,D16,VLOOKUP(A16,'Espesor Equivalente'!$A$96:$S$115,19,FALSE)),0.01)</f>
        <v>0.12</v>
      </c>
      <c r="F16" s="20">
        <f t="shared" si="1"/>
        <v>1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0.2</v>
      </c>
      <c r="K16" s="71">
        <f t="shared" si="4"/>
        <v>0.88280000000000003</v>
      </c>
      <c r="L16" s="71"/>
      <c r="M16" s="14"/>
      <c r="O16" s="17"/>
      <c r="P16" s="16"/>
      <c r="Q16" s="16"/>
      <c r="R16" s="2"/>
    </row>
    <row r="17" spans="1:18" ht="13.5" x14ac:dyDescent="0.25">
      <c r="A17" s="69">
        <f>'Espesor E5'!A17</f>
        <v>9</v>
      </c>
      <c r="B17" s="70">
        <f>'Espesor E5'!B17</f>
        <v>1</v>
      </c>
      <c r="C17" s="70">
        <f>'Espesor E5'!C17</f>
        <v>1</v>
      </c>
      <c r="D17" s="70">
        <f>'Espesor E5'!J17</f>
        <v>0.12</v>
      </c>
      <c r="E17" s="70">
        <f>CEILING(IF(TYPE(VLOOKUP(A17,'Espesor Equivalente'!$A$96:$S$115,19,FALSE))=16,D17,VLOOKUP(A17,'Espesor Equivalente'!$A$96:$S$115,19,FALSE)),0.01)</f>
        <v>0.12</v>
      </c>
      <c r="F17" s="20">
        <f t="shared" si="1"/>
        <v>1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0.2</v>
      </c>
      <c r="K17" s="71">
        <f t="shared" si="4"/>
        <v>0.88280000000000003</v>
      </c>
      <c r="L17" s="71"/>
      <c r="M17" s="14"/>
      <c r="O17" s="17"/>
      <c r="P17" s="16"/>
      <c r="Q17" s="16"/>
      <c r="R17" s="2"/>
    </row>
    <row r="18" spans="1:18" ht="13.5" x14ac:dyDescent="0.25">
      <c r="A18" s="69">
        <f>'Espesor E5'!A18</f>
        <v>10</v>
      </c>
      <c r="B18" s="70">
        <f>'Espesor E5'!B18</f>
        <v>1</v>
      </c>
      <c r="C18" s="70">
        <f>'Espesor E5'!C18</f>
        <v>1</v>
      </c>
      <c r="D18" s="70">
        <f>'Espesor E5'!J18</f>
        <v>0.12</v>
      </c>
      <c r="E18" s="70">
        <f>CEILING(IF(TYPE(VLOOKUP(A18,'Espesor Equivalente'!$A$96:$S$115,19,FALSE))=16,D18,VLOOKUP(A18,'Espesor Equivalente'!$A$96:$S$115,19,FALSE)),0.01)</f>
        <v>0.12</v>
      </c>
      <c r="F18" s="20">
        <f t="shared" si="1"/>
        <v>1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0.2</v>
      </c>
      <c r="K18" s="71">
        <f t="shared" si="4"/>
        <v>0.88280000000000003</v>
      </c>
      <c r="L18" s="71"/>
      <c r="M18" s="14"/>
      <c r="O18" s="17"/>
      <c r="P18" s="16"/>
      <c r="Q18" s="16"/>
      <c r="R18" s="2"/>
    </row>
    <row r="19" spans="1:18" ht="13.5" x14ac:dyDescent="0.25">
      <c r="A19" s="69">
        <f>'Espesor E5'!A19</f>
        <v>11</v>
      </c>
      <c r="B19" s="70">
        <f>'Espesor E5'!B19</f>
        <v>1</v>
      </c>
      <c r="C19" s="70">
        <f>'Espesor E5'!C19</f>
        <v>1</v>
      </c>
      <c r="D19" s="70">
        <f>'Espesor E5'!J19</f>
        <v>0.12</v>
      </c>
      <c r="E19" s="70">
        <f>CEILING(IF(TYPE(VLOOKUP(A19,'Espesor Equivalente'!$A$96:$S$115,19,FALSE))=16,D19,VLOOKUP(A19,'Espesor Equivalente'!$A$96:$S$115,19,FALSE)),0.01)</f>
        <v>0.12</v>
      </c>
      <c r="F19" s="20">
        <f t="shared" si="1"/>
        <v>1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0.2</v>
      </c>
      <c r="K19" s="71">
        <f t="shared" si="4"/>
        <v>0.88280000000000003</v>
      </c>
      <c r="L19" s="71"/>
      <c r="M19" s="14"/>
      <c r="O19" s="17"/>
      <c r="P19" s="16"/>
      <c r="Q19" s="16"/>
      <c r="R19" s="2"/>
    </row>
    <row r="20" spans="1:18" ht="13.5" x14ac:dyDescent="0.25">
      <c r="A20" s="69">
        <f>'Espesor E5'!A20</f>
        <v>12</v>
      </c>
      <c r="B20" s="70">
        <f>'Espesor E5'!B20</f>
        <v>1</v>
      </c>
      <c r="C20" s="70">
        <f>'Espesor E5'!C20</f>
        <v>1</v>
      </c>
      <c r="D20" s="70">
        <f>'Espesor E5'!J20</f>
        <v>0.12</v>
      </c>
      <c r="E20" s="70">
        <f>CEILING(IF(TYPE(VLOOKUP(A20,'Espesor Equivalente'!$A$96:$S$115,19,FALSE))=16,D20,VLOOKUP(A20,'Espesor Equivalente'!$A$96:$S$115,19,FALSE)),0.01)</f>
        <v>0.12</v>
      </c>
      <c r="F20" s="20">
        <f t="shared" si="1"/>
        <v>1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0.2</v>
      </c>
      <c r="K20" s="71">
        <f t="shared" si="4"/>
        <v>0.88280000000000003</v>
      </c>
      <c r="L20" s="71"/>
      <c r="M20" s="14"/>
      <c r="O20" s="17"/>
      <c r="P20" s="16"/>
      <c r="Q20" s="16"/>
      <c r="R20" s="2"/>
    </row>
    <row r="21" spans="1:18" ht="13.5" x14ac:dyDescent="0.25">
      <c r="A21" s="69">
        <f>'Espesor E5'!A21</f>
        <v>13</v>
      </c>
      <c r="B21" s="70">
        <f>'Espesor E5'!B21</f>
        <v>1</v>
      </c>
      <c r="C21" s="70">
        <f>'Espesor E5'!C21</f>
        <v>1</v>
      </c>
      <c r="D21" s="70">
        <f>'Espesor E5'!J21</f>
        <v>0.12</v>
      </c>
      <c r="E21" s="70">
        <f>CEILING(IF(TYPE(VLOOKUP(A21,'Espesor Equivalente'!$A$96:$S$115,19,FALSE))=16,D21,VLOOKUP(A21,'Espesor Equivalente'!$A$96:$S$115,19,FALSE)),0.01)</f>
        <v>0.12</v>
      </c>
      <c r="F21" s="20">
        <f t="shared" si="1"/>
        <v>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0.2</v>
      </c>
      <c r="K21" s="71">
        <f t="shared" si="4"/>
        <v>0.88280000000000003</v>
      </c>
      <c r="L21" s="71"/>
      <c r="M21" s="14"/>
      <c r="O21" s="17"/>
      <c r="P21" s="16"/>
      <c r="Q21" s="16"/>
      <c r="R21" s="2"/>
    </row>
    <row r="22" spans="1:18" ht="13.5" x14ac:dyDescent="0.25">
      <c r="A22" s="69">
        <f>'Espesor E5'!A22</f>
        <v>14</v>
      </c>
      <c r="B22" s="70">
        <f>'Espesor E5'!B22</f>
        <v>1</v>
      </c>
      <c r="C22" s="70">
        <f>'Espesor E5'!C22</f>
        <v>1</v>
      </c>
      <c r="D22" s="70">
        <f>'Espesor E5'!J22</f>
        <v>0.12</v>
      </c>
      <c r="E22" s="70">
        <f>CEILING(IF(TYPE(VLOOKUP(A22,'Espesor Equivalente'!$A$96:$S$115,19,FALSE))=16,D22,VLOOKUP(A22,'Espesor Equivalente'!$A$96:$S$115,19,FALSE)),0.01)</f>
        <v>0.12</v>
      </c>
      <c r="F22" s="20">
        <f t="shared" si="1"/>
        <v>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0.2</v>
      </c>
      <c r="K22" s="71">
        <f t="shared" si="4"/>
        <v>0.88280000000000003</v>
      </c>
      <c r="L22" s="71"/>
      <c r="M22" s="14"/>
      <c r="O22" s="17"/>
      <c r="P22" s="16"/>
      <c r="Q22" s="16"/>
      <c r="R22" s="2"/>
    </row>
    <row r="23" spans="1:18" ht="13.5" x14ac:dyDescent="0.25">
      <c r="A23" s="69">
        <f>'Espesor E5'!A23</f>
        <v>15</v>
      </c>
      <c r="B23" s="70">
        <f>'Espesor E5'!B23</f>
        <v>1</v>
      </c>
      <c r="C23" s="70">
        <f>'Espesor E5'!C23</f>
        <v>1</v>
      </c>
      <c r="D23" s="70">
        <f>'Espesor E5'!J23</f>
        <v>0.12</v>
      </c>
      <c r="E23" s="70">
        <f>CEILING(IF(TYPE(VLOOKUP(A23,'Espesor Equivalente'!$A$96:$S$115,19,FALSE))=16,D23,VLOOKUP(A23,'Espesor Equivalente'!$A$96:$S$115,19,FALSE)),0.01)</f>
        <v>0.12</v>
      </c>
      <c r="F23" s="20">
        <f t="shared" si="1"/>
        <v>1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0.2</v>
      </c>
      <c r="K23" s="71">
        <f t="shared" si="4"/>
        <v>0.88280000000000003</v>
      </c>
      <c r="L23" s="71"/>
      <c r="M23" s="14"/>
      <c r="O23" s="17"/>
      <c r="P23" s="16"/>
      <c r="Q23" s="16"/>
      <c r="R23" s="2"/>
    </row>
    <row r="24" spans="1:18" ht="13.5" x14ac:dyDescent="0.25">
      <c r="A24" s="69">
        <f>'Espesor E5'!A24</f>
        <v>16</v>
      </c>
      <c r="B24" s="70">
        <f>'Espesor E5'!B24</f>
        <v>1</v>
      </c>
      <c r="C24" s="70">
        <f>'Espesor E5'!C24</f>
        <v>1</v>
      </c>
      <c r="D24" s="70">
        <f>'Espesor E5'!J24</f>
        <v>0.12</v>
      </c>
      <c r="E24" s="70">
        <f>CEILING(IF(TYPE(VLOOKUP(A24,'Espesor Equivalente'!$A$96:$S$115,19,FALSE))=16,D24,VLOOKUP(A24,'Espesor Equivalente'!$A$96:$S$115,19,FALSE)),0.01)</f>
        <v>0.12</v>
      </c>
      <c r="F24" s="20">
        <f t="shared" si="1"/>
        <v>1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0.2</v>
      </c>
      <c r="K24" s="71">
        <f t="shared" si="4"/>
        <v>0.88280000000000003</v>
      </c>
      <c r="L24" s="71"/>
      <c r="M24" s="14"/>
      <c r="O24" s="17"/>
      <c r="P24" s="16"/>
      <c r="Q24" s="16"/>
      <c r="R24" s="2"/>
    </row>
    <row r="25" spans="1:18" ht="13.5" x14ac:dyDescent="0.25">
      <c r="A25" s="69">
        <f>'Espesor E5'!A25</f>
        <v>17</v>
      </c>
      <c r="B25" s="70">
        <f>'Espesor E5'!B25</f>
        <v>1</v>
      </c>
      <c r="C25" s="70">
        <f>'Espesor E5'!C25</f>
        <v>1</v>
      </c>
      <c r="D25" s="70">
        <f>'Espesor E5'!J25</f>
        <v>0.12</v>
      </c>
      <c r="E25" s="70">
        <f>CEILING(IF(TYPE(VLOOKUP(A25,'Espesor Equivalente'!$A$96:$S$115,19,FALSE))=16,D25,VLOOKUP(A25,'Espesor Equivalente'!$A$96:$S$115,19,FALSE)),0.01)</f>
        <v>0.12</v>
      </c>
      <c r="F25" s="20">
        <f t="shared" si="1"/>
        <v>1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0.2</v>
      </c>
      <c r="K25" s="71">
        <f t="shared" si="4"/>
        <v>0.88280000000000003</v>
      </c>
      <c r="L25" s="71"/>
      <c r="M25" s="14"/>
      <c r="O25" s="17"/>
      <c r="P25" s="16"/>
      <c r="Q25" s="16"/>
      <c r="R25" s="2"/>
    </row>
    <row r="26" spans="1:18" ht="13.5" x14ac:dyDescent="0.25">
      <c r="A26" s="69">
        <f>'Espesor E5'!A26</f>
        <v>18</v>
      </c>
      <c r="B26" s="70">
        <f>'Espesor E5'!B26</f>
        <v>1</v>
      </c>
      <c r="C26" s="70">
        <f>'Espesor E5'!C26</f>
        <v>1</v>
      </c>
      <c r="D26" s="70">
        <f>'Espesor E5'!J26</f>
        <v>0.12</v>
      </c>
      <c r="E26" s="70">
        <f>CEILING(IF(TYPE(VLOOKUP(A26,'Espesor Equivalente'!$A$96:$S$115,19,FALSE))=16,D26,VLOOKUP(A26,'Espesor Equivalente'!$A$96:$S$115,19,FALSE)),0.01)</f>
        <v>0.12</v>
      </c>
      <c r="F26" s="20">
        <f t="shared" si="1"/>
        <v>1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0.2</v>
      </c>
      <c r="K26" s="71">
        <f t="shared" si="4"/>
        <v>0.88280000000000003</v>
      </c>
      <c r="L26" s="71"/>
      <c r="M26" s="14"/>
      <c r="O26" s="17"/>
      <c r="P26" s="16"/>
      <c r="Q26" s="16"/>
      <c r="R26" s="2"/>
    </row>
    <row r="27" spans="1:18" ht="13.5" x14ac:dyDescent="0.25">
      <c r="A27" s="69">
        <f>'Espesor E5'!A27</f>
        <v>19</v>
      </c>
      <c r="B27" s="70">
        <f>'Espesor E5'!B27</f>
        <v>1</v>
      </c>
      <c r="C27" s="70">
        <f>'Espesor E5'!C27</f>
        <v>1</v>
      </c>
      <c r="D27" s="70">
        <f>'Espesor E5'!J27</f>
        <v>0.12</v>
      </c>
      <c r="E27" s="70">
        <f>CEILING(IF(TYPE(VLOOKUP(A27,'Espesor Equivalente'!$A$96:$S$115,19,FALSE))=16,D27,VLOOKUP(A27,'Espesor Equivalente'!$A$96:$S$115,19,FALSE)),0.01)</f>
        <v>0.12</v>
      </c>
      <c r="F27" s="20">
        <f t="shared" si="1"/>
        <v>1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0.2</v>
      </c>
      <c r="K27" s="71">
        <f t="shared" si="4"/>
        <v>0.88280000000000003</v>
      </c>
      <c r="L27" s="71"/>
      <c r="M27" s="14"/>
      <c r="O27" s="17"/>
      <c r="P27" s="16"/>
      <c r="Q27" s="16"/>
      <c r="R27" s="2"/>
    </row>
    <row r="28" spans="1:18" ht="13.5" x14ac:dyDescent="0.25">
      <c r="A28" s="69">
        <f>'Espesor E5'!A28</f>
        <v>20</v>
      </c>
      <c r="B28" s="70">
        <f>'Espesor E5'!B28</f>
        <v>1</v>
      </c>
      <c r="C28" s="70">
        <f>'Espesor E5'!C28</f>
        <v>1</v>
      </c>
      <c r="D28" s="70">
        <f>'Espesor E5'!J28</f>
        <v>0.12</v>
      </c>
      <c r="E28" s="70">
        <f>CEILING(IF(TYPE(VLOOKUP(A28,'Espesor Equivalente'!$A$96:$S$115,19,FALSE))=16,D28,VLOOKUP(A28,'Espesor Equivalente'!$A$96:$S$115,19,FALSE)),0.01)</f>
        <v>0.12</v>
      </c>
      <c r="F28" s="20">
        <f t="shared" si="1"/>
        <v>1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0.2</v>
      </c>
      <c r="K28" s="71">
        <f t="shared" si="4"/>
        <v>0.88280000000000003</v>
      </c>
      <c r="L28" s="71"/>
      <c r="M28" s="14"/>
      <c r="O28" s="17"/>
      <c r="P28" s="16"/>
      <c r="Q28" s="16"/>
      <c r="R28" s="2"/>
    </row>
    <row r="29" spans="1:18" ht="13.5" x14ac:dyDescent="0.25">
      <c r="A29" s="69">
        <f>'Espesor E5'!A29</f>
        <v>21</v>
      </c>
      <c r="B29" s="70">
        <f>'Espesor E5'!B29</f>
        <v>1</v>
      </c>
      <c r="C29" s="70">
        <f>'Espesor E5'!C29</f>
        <v>1</v>
      </c>
      <c r="D29" s="70">
        <f>'Espesor E5'!J29</f>
        <v>0.12</v>
      </c>
      <c r="E29" s="70">
        <f>CEILING(IF(TYPE(VLOOKUP(A29,'Espesor Equivalente'!$A$96:$S$115,19,FALSE))=16,D29,VLOOKUP(A29,'Espesor Equivalente'!$A$96:$S$115,19,FALSE)),0.01)</f>
        <v>0.12</v>
      </c>
      <c r="F29" s="20">
        <f t="shared" si="1"/>
        <v>1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0.2</v>
      </c>
      <c r="K29" s="71">
        <f t="shared" si="4"/>
        <v>0.88280000000000003</v>
      </c>
      <c r="L29" s="71"/>
      <c r="M29" s="14"/>
      <c r="O29" s="17"/>
      <c r="P29" s="16"/>
      <c r="Q29" s="16"/>
      <c r="R29" s="2"/>
    </row>
    <row r="30" spans="1:18" ht="13.5" x14ac:dyDescent="0.25">
      <c r="A30" s="69">
        <f>'Espesor E5'!A30</f>
        <v>22</v>
      </c>
      <c r="B30" s="70">
        <f>'Espesor E5'!B30</f>
        <v>1</v>
      </c>
      <c r="C30" s="70">
        <f>'Espesor E5'!C30</f>
        <v>1</v>
      </c>
      <c r="D30" s="70">
        <f>'Espesor E5'!J30</f>
        <v>0.12</v>
      </c>
      <c r="E30" s="70">
        <f>CEILING(IF(TYPE(VLOOKUP(A30,'Espesor Equivalente'!$A$96:$S$115,19,FALSE))=16,D30,VLOOKUP(A30,'Espesor Equivalente'!$A$96:$S$115,19,FALSE)),0.01)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0.2</v>
      </c>
      <c r="K30" s="71">
        <f t="shared" si="4"/>
        <v>0.88280000000000003</v>
      </c>
      <c r="L30" s="71"/>
      <c r="M30" s="14"/>
      <c r="O30" s="17"/>
      <c r="P30" s="16"/>
      <c r="Q30" s="16"/>
      <c r="R30" s="2"/>
    </row>
    <row r="31" spans="1:18" ht="13.5" x14ac:dyDescent="0.25">
      <c r="A31" s="69">
        <f>'Espesor E5'!A31</f>
        <v>23</v>
      </c>
      <c r="B31" s="70">
        <f>'Espesor E5'!B31</f>
        <v>1</v>
      </c>
      <c r="C31" s="70">
        <f>'Espesor E5'!C31</f>
        <v>1</v>
      </c>
      <c r="D31" s="70">
        <f>'Espesor E5'!J31</f>
        <v>0.12</v>
      </c>
      <c r="E31" s="70">
        <f>CEILING(IF(TYPE(VLOOKUP(A31,'Espesor Equivalente'!$A$96:$S$115,19,FALSE))=16,D31,VLOOKUP(A31,'Espesor Equivalente'!$A$96:$S$115,19,FALSE)),0.01)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0.2</v>
      </c>
      <c r="K31" s="71">
        <f t="shared" si="4"/>
        <v>0.88280000000000003</v>
      </c>
      <c r="L31" s="71"/>
      <c r="M31" s="14"/>
      <c r="O31" s="17"/>
      <c r="P31" s="16"/>
      <c r="Q31" s="16"/>
      <c r="R31" s="2"/>
    </row>
    <row r="32" spans="1:18" ht="13.5" x14ac:dyDescent="0.25">
      <c r="A32" s="69">
        <f>'Espesor E5'!A32</f>
        <v>24</v>
      </c>
      <c r="B32" s="70">
        <f>'Espesor E5'!B32</f>
        <v>1</v>
      </c>
      <c r="C32" s="70">
        <f>'Espesor E5'!C32</f>
        <v>1</v>
      </c>
      <c r="D32" s="70">
        <f>'Espesor E5'!J32</f>
        <v>0.12</v>
      </c>
      <c r="E32" s="70">
        <f>CEILING(IF(TYPE(VLOOKUP(A32,'Espesor Equivalente'!$A$96:$S$115,19,FALSE))=16,D32,VLOOKUP(A32,'Espesor Equivalente'!$A$96:$S$115,19,FALSE)),0.01)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0.2</v>
      </c>
      <c r="K32" s="71">
        <f t="shared" si="4"/>
        <v>0.88280000000000003</v>
      </c>
      <c r="L32" s="71"/>
      <c r="M32" s="14"/>
      <c r="O32" s="17"/>
      <c r="P32" s="16"/>
      <c r="Q32" s="16"/>
      <c r="R32" s="2"/>
    </row>
    <row r="33" spans="1:18" ht="13.5" x14ac:dyDescent="0.25">
      <c r="A33" s="69">
        <f>'Espesor E5'!A33</f>
        <v>25</v>
      </c>
      <c r="B33" s="70">
        <f>'Espesor E5'!B33</f>
        <v>1</v>
      </c>
      <c r="C33" s="70">
        <f>'Espesor E5'!C33</f>
        <v>1</v>
      </c>
      <c r="D33" s="70">
        <f>'Espesor E5'!J33</f>
        <v>0.12</v>
      </c>
      <c r="E33" s="70">
        <f>CEILING(IF(TYPE(VLOOKUP(A33,'Espesor Equivalente'!$A$96:$S$115,19,FALSE))=16,D33,VLOOKUP(A33,'Espesor Equivalente'!$A$96:$S$115,19,FALSE)),0.01)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0.2</v>
      </c>
      <c r="K33" s="71">
        <f t="shared" si="4"/>
        <v>0.88280000000000003</v>
      </c>
      <c r="L33" s="71"/>
      <c r="M33" s="14"/>
      <c r="O33" s="17"/>
      <c r="P33" s="16"/>
      <c r="Q33" s="16"/>
      <c r="R33" s="2"/>
    </row>
    <row r="34" spans="1:18" ht="13.5" x14ac:dyDescent="0.25">
      <c r="A34" s="69">
        <f>'Espesor E5'!A34</f>
        <v>26</v>
      </c>
      <c r="B34" s="70">
        <f>'Espesor E5'!B34</f>
        <v>1</v>
      </c>
      <c r="C34" s="70">
        <f>'Espesor E5'!C34</f>
        <v>1</v>
      </c>
      <c r="D34" s="70">
        <f>'Espesor E5'!J34</f>
        <v>0.12</v>
      </c>
      <c r="E34" s="70">
        <f>CEILING(IF(TYPE(VLOOKUP(A34,'Espesor Equivalente'!$A$96:$S$115,19,FALSE))=16,D34,VLOOKUP(A34,'Espesor Equivalente'!$A$96:$S$115,19,FALSE)),0.01)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0.2</v>
      </c>
      <c r="K34" s="71">
        <f t="shared" si="4"/>
        <v>0.88280000000000003</v>
      </c>
      <c r="L34" s="71"/>
      <c r="M34" s="14"/>
      <c r="O34" s="17"/>
      <c r="P34" s="16"/>
      <c r="Q34" s="16"/>
      <c r="R34" s="2"/>
    </row>
    <row r="35" spans="1:18" ht="13.5" x14ac:dyDescent="0.25">
      <c r="A35" s="69">
        <f>'Espesor E5'!A35</f>
        <v>27</v>
      </c>
      <c r="B35" s="70">
        <f>'Espesor E5'!B35</f>
        <v>1</v>
      </c>
      <c r="C35" s="70">
        <f>'Espesor E5'!C35</f>
        <v>1</v>
      </c>
      <c r="D35" s="70">
        <f>'Espesor E5'!J35</f>
        <v>0.12</v>
      </c>
      <c r="E35" s="70">
        <f>CEILING(IF(TYPE(VLOOKUP(A35,'Espesor Equivalente'!$A$96:$S$115,19,FALSE))=16,D35,VLOOKUP(A35,'Espesor Equivalente'!$A$96:$S$115,19,FALSE)),0.01)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0.2</v>
      </c>
      <c r="K35" s="71">
        <f t="shared" si="4"/>
        <v>0.88280000000000003</v>
      </c>
      <c r="L35" s="71"/>
      <c r="M35" s="14"/>
      <c r="O35" s="17"/>
      <c r="P35" s="16"/>
      <c r="Q35" s="16"/>
      <c r="R35" s="2"/>
    </row>
    <row r="36" spans="1:18" ht="13.5" x14ac:dyDescent="0.25">
      <c r="A36" s="69">
        <f>'Espesor E5'!A36</f>
        <v>28</v>
      </c>
      <c r="B36" s="70">
        <f>'Espesor E5'!B36</f>
        <v>1</v>
      </c>
      <c r="C36" s="70">
        <f>'Espesor E5'!C36</f>
        <v>1</v>
      </c>
      <c r="D36" s="70">
        <f>'Espesor E5'!J36</f>
        <v>0.12</v>
      </c>
      <c r="E36" s="70">
        <f>CEILING(IF(TYPE(VLOOKUP(A36,'Espesor Equivalente'!$A$96:$S$115,19,FALSE))=16,D36,VLOOKUP(A36,'Espesor Equivalente'!$A$96:$S$115,19,FALSE)),0.01)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0.2</v>
      </c>
      <c r="K36" s="71">
        <f t="shared" si="4"/>
        <v>0.88280000000000003</v>
      </c>
      <c r="L36" s="71"/>
      <c r="M36" s="14"/>
      <c r="O36" s="17"/>
      <c r="P36" s="16"/>
      <c r="Q36" s="16"/>
      <c r="R36" s="2"/>
    </row>
    <row r="37" spans="1:18" ht="13.5" x14ac:dyDescent="0.25">
      <c r="A37" s="69">
        <f>'Espesor E5'!A37</f>
        <v>29</v>
      </c>
      <c r="B37" s="70">
        <f>'Espesor E5'!B37</f>
        <v>1</v>
      </c>
      <c r="C37" s="70">
        <f>'Espesor E5'!C37</f>
        <v>1</v>
      </c>
      <c r="D37" s="70">
        <f>'Espesor E5'!J37</f>
        <v>0.12</v>
      </c>
      <c r="E37" s="70">
        <f>CEILING(IF(TYPE(VLOOKUP(A37,'Espesor Equivalente'!$A$96:$S$115,19,FALSE))=16,D37,VLOOKUP(A37,'Espesor Equivalente'!$A$96:$S$115,19,FALSE)),0.01)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0.2</v>
      </c>
      <c r="K37" s="71">
        <f t="shared" si="4"/>
        <v>0.88280000000000003</v>
      </c>
      <c r="L37" s="71"/>
      <c r="M37" s="14"/>
      <c r="O37" s="17"/>
      <c r="P37" s="16"/>
      <c r="Q37" s="16"/>
      <c r="R37" s="2"/>
    </row>
    <row r="38" spans="1:18" ht="13.5" x14ac:dyDescent="0.25">
      <c r="A38" s="69">
        <f>'Espesor E5'!A38</f>
        <v>30</v>
      </c>
      <c r="B38" s="70">
        <f>'Espesor E5'!B38</f>
        <v>1</v>
      </c>
      <c r="C38" s="70">
        <f>'Espesor E5'!C38</f>
        <v>1</v>
      </c>
      <c r="D38" s="70">
        <f>'Espesor E5'!J38</f>
        <v>0.12</v>
      </c>
      <c r="E38" s="70">
        <f>CEILING(IF(TYPE(VLOOKUP(A38,'Espesor Equivalente'!$A$96:$S$115,19,FALSE))=16,D38,VLOOKUP(A38,'Espesor Equivalente'!$A$96:$S$115,19,FALSE)),0.01)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0.2</v>
      </c>
      <c r="K38" s="71">
        <f t="shared" si="4"/>
        <v>0.88280000000000003</v>
      </c>
      <c r="L38" s="71"/>
      <c r="M38" s="14"/>
      <c r="O38" s="17"/>
      <c r="P38" s="16"/>
      <c r="Q38" s="16"/>
      <c r="R38" s="2"/>
    </row>
    <row r="39" spans="1:18" ht="13.5" x14ac:dyDescent="0.25">
      <c r="A39" s="69">
        <f>'Espesor E5'!A39</f>
        <v>31</v>
      </c>
      <c r="B39" s="70">
        <f>'Espesor E5'!B39</f>
        <v>1</v>
      </c>
      <c r="C39" s="70">
        <f>'Espesor E5'!C39</f>
        <v>1</v>
      </c>
      <c r="D39" s="70">
        <f>'Espesor E5'!J39</f>
        <v>0.12</v>
      </c>
      <c r="E39" s="70">
        <f>CEILING(IF(TYPE(VLOOKUP(A39,'Espesor Equivalente'!$A$96:$S$115,19,FALSE))=16,D39,VLOOKUP(A39,'Espesor Equivalente'!$A$96:$S$115,19,FALSE)),0.01)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0.2</v>
      </c>
      <c r="K39" s="71">
        <f t="shared" si="4"/>
        <v>0.88280000000000003</v>
      </c>
      <c r="L39" s="71"/>
      <c r="M39" s="14"/>
      <c r="O39" s="17"/>
      <c r="P39" s="16"/>
      <c r="Q39" s="16"/>
      <c r="R39" s="2"/>
    </row>
    <row r="40" spans="1:18" ht="13.5" x14ac:dyDescent="0.25">
      <c r="A40" s="69">
        <f>'Espesor E5'!A40</f>
        <v>32</v>
      </c>
      <c r="B40" s="70">
        <f>'Espesor E5'!B40</f>
        <v>1</v>
      </c>
      <c r="C40" s="70">
        <f>'Espesor E5'!C40</f>
        <v>1</v>
      </c>
      <c r="D40" s="70">
        <f>'Espesor E5'!J40</f>
        <v>0.12</v>
      </c>
      <c r="E40" s="70">
        <f>CEILING(IF(TYPE(VLOOKUP(A40,'Espesor Equivalente'!$A$96:$S$115,19,FALSE))=16,D40,VLOOKUP(A40,'Espesor Equivalente'!$A$96:$S$115,19,FALSE)),0.01)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0.2</v>
      </c>
      <c r="K40" s="71">
        <f t="shared" si="4"/>
        <v>0.88280000000000003</v>
      </c>
      <c r="L40" s="71"/>
      <c r="M40" s="14"/>
      <c r="O40" s="17"/>
      <c r="P40" s="16"/>
      <c r="Q40" s="16"/>
      <c r="R40" s="2"/>
    </row>
    <row r="41" spans="1:18" ht="13.5" x14ac:dyDescent="0.25">
      <c r="A41" s="69">
        <f>'Espesor E5'!A41</f>
        <v>33</v>
      </c>
      <c r="B41" s="70">
        <f>'Espesor E5'!B41</f>
        <v>1</v>
      </c>
      <c r="C41" s="70">
        <f>'Espesor E5'!C41</f>
        <v>1</v>
      </c>
      <c r="D41" s="70">
        <f>'Espesor E5'!J41</f>
        <v>0.12</v>
      </c>
      <c r="E41" s="70">
        <f>CEILING(IF(TYPE(VLOOKUP(A41,'Espesor Equivalente'!$A$96:$S$115,19,FALSE))=16,D41,VLOOKUP(A41,'Espesor Equivalente'!$A$96:$S$115,19,FALSE)),0.01)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0.2</v>
      </c>
      <c r="K41" s="71">
        <f t="shared" si="4"/>
        <v>0.88280000000000003</v>
      </c>
      <c r="L41" s="71"/>
      <c r="M41" s="14"/>
      <c r="O41" s="17"/>
      <c r="P41" s="16"/>
      <c r="Q41" s="16"/>
      <c r="R41" s="2"/>
    </row>
    <row r="42" spans="1:18" ht="13.5" x14ac:dyDescent="0.25">
      <c r="A42" s="69">
        <f>'Espesor E5'!A42</f>
        <v>34</v>
      </c>
      <c r="B42" s="70">
        <f>'Espesor E5'!B42</f>
        <v>1</v>
      </c>
      <c r="C42" s="70">
        <f>'Espesor E5'!C42</f>
        <v>1</v>
      </c>
      <c r="D42" s="70">
        <f>'Espesor E5'!J42</f>
        <v>0.12</v>
      </c>
      <c r="E42" s="70">
        <f>CEILING(IF(TYPE(VLOOKUP(A42,'Espesor Equivalente'!$A$96:$S$115,19,FALSE))=16,D42,VLOOKUP(A42,'Espesor Equivalente'!$A$96:$S$115,19,FALSE)),0.01)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0.2</v>
      </c>
      <c r="K42" s="71">
        <f t="shared" si="4"/>
        <v>0.88280000000000003</v>
      </c>
      <c r="L42" s="71"/>
      <c r="M42" s="14"/>
      <c r="O42" s="17"/>
      <c r="P42" s="16"/>
      <c r="Q42" s="16"/>
      <c r="R42" s="2"/>
    </row>
    <row r="43" spans="1:18" ht="13.5" x14ac:dyDescent="0.25">
      <c r="A43" s="69">
        <f>'Espesor E5'!A43</f>
        <v>35</v>
      </c>
      <c r="B43" s="70">
        <f>'Espesor E5'!B43</f>
        <v>1</v>
      </c>
      <c r="C43" s="70">
        <f>'Espesor E5'!C43</f>
        <v>1</v>
      </c>
      <c r="D43" s="70">
        <f>'Espesor E5'!J43</f>
        <v>0.12</v>
      </c>
      <c r="E43" s="70">
        <f>CEILING(IF(TYPE(VLOOKUP(A43,'Espesor Equivalente'!$A$96:$S$115,19,FALSE))=16,D43,VLOOKUP(A43,'Espesor Equivalente'!$A$96:$S$115,19,FALSE)),0.01)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0.2</v>
      </c>
      <c r="K43" s="71">
        <f t="shared" si="4"/>
        <v>0.88280000000000003</v>
      </c>
      <c r="L43" s="71"/>
      <c r="M43" s="14"/>
      <c r="O43" s="17"/>
      <c r="P43" s="16"/>
      <c r="Q43" s="16"/>
      <c r="R43" s="2"/>
    </row>
    <row r="44" spans="1:18" ht="13.5" x14ac:dyDescent="0.25">
      <c r="A44" s="69">
        <f>'Espesor E5'!A44</f>
        <v>36</v>
      </c>
      <c r="B44" s="70">
        <f>'Espesor E5'!B44</f>
        <v>1</v>
      </c>
      <c r="C44" s="70">
        <f>'Espesor E5'!C44</f>
        <v>1</v>
      </c>
      <c r="D44" s="70">
        <f>'Espesor E5'!J44</f>
        <v>0.12</v>
      </c>
      <c r="E44" s="70">
        <f>CEILING(IF(TYPE(VLOOKUP(A44,'Espesor Equivalente'!$A$96:$S$115,19,FALSE))=16,D44,VLOOKUP(A44,'Espesor Equivalente'!$A$96:$S$115,19,FALSE)),0.01)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0.2</v>
      </c>
      <c r="K44" s="71">
        <f t="shared" si="4"/>
        <v>0.88280000000000003</v>
      </c>
      <c r="L44" s="71"/>
      <c r="M44" s="14"/>
      <c r="O44" s="6"/>
      <c r="P44" s="16"/>
      <c r="Q44" s="16"/>
      <c r="R44" s="2"/>
    </row>
    <row r="45" spans="1:18" ht="13.5" x14ac:dyDescent="0.25">
      <c r="A45" s="69">
        <f>'Espesor E5'!A45</f>
        <v>37</v>
      </c>
      <c r="B45" s="70">
        <f>'Espesor E5'!B45</f>
        <v>1</v>
      </c>
      <c r="C45" s="70">
        <f>'Espesor E5'!C45</f>
        <v>1</v>
      </c>
      <c r="D45" s="70">
        <f>'Espesor E5'!J45</f>
        <v>0.12</v>
      </c>
      <c r="E45" s="70">
        <f>CEILING(IF(TYPE(VLOOKUP(A45,'Espesor Equivalente'!$A$96:$S$115,19,FALSE))=16,D45,VLOOKUP(A45,'Espesor Equivalente'!$A$96:$S$115,19,FALSE)),0.01)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0.2</v>
      </c>
      <c r="K45" s="71">
        <f t="shared" si="4"/>
        <v>0.88280000000000003</v>
      </c>
      <c r="L45" s="71"/>
      <c r="M45" s="14"/>
      <c r="O45" s="17"/>
      <c r="P45" s="16"/>
      <c r="Q45" s="16"/>
      <c r="R45" s="2"/>
    </row>
    <row r="46" spans="1:18" ht="13.5" x14ac:dyDescent="0.25">
      <c r="A46" s="69">
        <f>'Espesor E5'!A46</f>
        <v>38</v>
      </c>
      <c r="B46" s="70">
        <f>'Espesor E5'!B46</f>
        <v>1</v>
      </c>
      <c r="C46" s="70">
        <f>'Espesor E5'!C46</f>
        <v>1</v>
      </c>
      <c r="D46" s="70">
        <f>'Espesor E5'!J46</f>
        <v>0.12</v>
      </c>
      <c r="E46" s="70">
        <f>CEILING(IF(TYPE(VLOOKUP(A46,'Espesor Equivalente'!$A$96:$S$115,19,FALSE))=16,D46,VLOOKUP(A46,'Espesor Equivalente'!$A$96:$S$115,19,FALSE)),0.01)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0.2</v>
      </c>
      <c r="K46" s="71">
        <f t="shared" si="4"/>
        <v>0.88280000000000003</v>
      </c>
      <c r="L46" s="71"/>
      <c r="M46" s="14"/>
      <c r="O46" s="17"/>
      <c r="P46" s="16"/>
      <c r="Q46" s="16"/>
      <c r="R46" s="2"/>
    </row>
    <row r="47" spans="1:18" ht="13.5" x14ac:dyDescent="0.25">
      <c r="A47" s="69">
        <f>'Espesor E5'!A47</f>
        <v>39</v>
      </c>
      <c r="B47" s="70">
        <f>'Espesor E5'!B47</f>
        <v>1</v>
      </c>
      <c r="C47" s="70">
        <f>'Espesor E5'!C47</f>
        <v>1</v>
      </c>
      <c r="D47" s="70">
        <f>'Espesor E5'!J47</f>
        <v>0.12</v>
      </c>
      <c r="E47" s="70">
        <f>CEILING(IF(TYPE(VLOOKUP(A47,'Espesor Equivalente'!$A$96:$S$115,19,FALSE))=16,D47,VLOOKUP(A47,'Espesor Equivalente'!$A$96:$S$115,19,FALSE)),0.01)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0.2</v>
      </c>
      <c r="K47" s="71">
        <f t="shared" si="4"/>
        <v>0.88280000000000003</v>
      </c>
      <c r="L47" s="71"/>
      <c r="M47" s="14"/>
      <c r="O47" s="6"/>
      <c r="P47" s="16"/>
      <c r="Q47" s="16"/>
      <c r="R47" s="2"/>
    </row>
    <row r="48" spans="1:18" ht="13.5" x14ac:dyDescent="0.25">
      <c r="A48" s="69">
        <f>'Espesor E5'!A48</f>
        <v>40</v>
      </c>
      <c r="B48" s="70">
        <f>'Espesor E5'!B48</f>
        <v>1</v>
      </c>
      <c r="C48" s="70">
        <f>'Espesor E5'!C48</f>
        <v>1</v>
      </c>
      <c r="D48" s="70">
        <f>'Espesor E5'!J48</f>
        <v>0.12</v>
      </c>
      <c r="E48" s="70">
        <f>CEILING(IF(TYPE(VLOOKUP(A48,'Espesor Equivalente'!$A$96:$S$115,19,FALSE))=16,D48,VLOOKUP(A48,'Espesor Equivalente'!$A$96:$S$115,19,FALSE)),0.01)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0.2</v>
      </c>
      <c r="K48" s="71">
        <f t="shared" si="4"/>
        <v>0.88280000000000003</v>
      </c>
      <c r="L48" s="71"/>
      <c r="M48" s="14"/>
      <c r="O48" s="17"/>
      <c r="P48" s="16"/>
      <c r="Q48" s="16"/>
      <c r="R48" s="2"/>
    </row>
    <row r="49" spans="1:18" ht="13.5" x14ac:dyDescent="0.25">
      <c r="A49" s="69">
        <f>'Espesor E5'!A49</f>
        <v>41</v>
      </c>
      <c r="B49" s="70">
        <f>'Espesor E5'!B49</f>
        <v>1</v>
      </c>
      <c r="C49" s="70">
        <f>'Espesor E5'!C49</f>
        <v>1</v>
      </c>
      <c r="D49" s="70">
        <f>'Espesor E5'!J49</f>
        <v>0.12</v>
      </c>
      <c r="E49" s="70">
        <f>CEILING(IF(TYPE(VLOOKUP(A49,'Espesor Equivalente'!$A$96:$S$115,19,FALSE))=16,D49,VLOOKUP(A49,'Espesor Equivalente'!$A$96:$S$115,19,FALSE)),0.01)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0.2</v>
      </c>
      <c r="K49" s="71">
        <f t="shared" si="4"/>
        <v>0.88280000000000003</v>
      </c>
      <c r="L49" s="71"/>
      <c r="M49" s="14"/>
      <c r="O49" s="17"/>
      <c r="P49" s="16"/>
      <c r="Q49" s="16"/>
      <c r="R49" s="2"/>
    </row>
    <row r="50" spans="1:18" ht="13.5" x14ac:dyDescent="0.25">
      <c r="A50" s="69">
        <f>'Espesor E5'!A50</f>
        <v>42</v>
      </c>
      <c r="B50" s="70">
        <f>'Espesor E5'!B50</f>
        <v>1</v>
      </c>
      <c r="C50" s="70">
        <f>'Espesor E5'!C50</f>
        <v>1</v>
      </c>
      <c r="D50" s="70">
        <f>'Espesor E5'!J50</f>
        <v>0.12</v>
      </c>
      <c r="E50" s="70">
        <f>CEILING(IF(TYPE(VLOOKUP(A50,'Espesor Equivalente'!$A$96:$S$115,19,FALSE))=16,D50,VLOOKUP(A50,'Espesor Equivalente'!$A$96:$S$115,19,FALSE)),0.01)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0.2</v>
      </c>
      <c r="K50" s="71">
        <f t="shared" si="4"/>
        <v>0.88280000000000003</v>
      </c>
      <c r="L50" s="71"/>
      <c r="M50" s="14"/>
      <c r="O50" s="6"/>
      <c r="P50" s="16"/>
      <c r="Q50" s="16"/>
      <c r="R50" s="2"/>
    </row>
    <row r="51" spans="1:18" ht="13.5" x14ac:dyDescent="0.25">
      <c r="A51" s="69">
        <f>'Espesor E5'!A51</f>
        <v>43</v>
      </c>
      <c r="B51" s="70">
        <f>'Espesor E5'!B51</f>
        <v>1</v>
      </c>
      <c r="C51" s="70">
        <f>'Espesor E5'!C51</f>
        <v>1</v>
      </c>
      <c r="D51" s="70">
        <f>'Espesor E5'!J51</f>
        <v>0.12</v>
      </c>
      <c r="E51" s="70">
        <f>CEILING(IF(TYPE(VLOOKUP(A51,'Espesor Equivalente'!$A$96:$S$115,19,FALSE))=16,D51,VLOOKUP(A51,'Espesor Equivalente'!$A$96:$S$115,19,FALSE)),0.01)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0.2</v>
      </c>
      <c r="K51" s="71">
        <f t="shared" si="4"/>
        <v>0.88280000000000003</v>
      </c>
      <c r="L51" s="71"/>
      <c r="M51" s="14"/>
      <c r="O51" s="17"/>
      <c r="P51" s="16"/>
      <c r="Q51" s="16"/>
      <c r="R51" s="2"/>
    </row>
    <row r="52" spans="1:18" ht="13.5" x14ac:dyDescent="0.25">
      <c r="A52" s="69">
        <f>'Espesor E5'!A52</f>
        <v>44</v>
      </c>
      <c r="B52" s="70">
        <f>'Espesor E5'!B52</f>
        <v>1</v>
      </c>
      <c r="C52" s="70">
        <f>'Espesor E5'!C52</f>
        <v>1</v>
      </c>
      <c r="D52" s="70">
        <f>'Espesor E5'!J52</f>
        <v>0.12</v>
      </c>
      <c r="E52" s="70">
        <f>CEILING(IF(TYPE(VLOOKUP(A52,'Espesor Equivalente'!$A$96:$S$115,19,FALSE))=16,D52,VLOOKUP(A52,'Espesor Equivalente'!$A$96:$S$115,19,FALSE)),0.01)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0.2</v>
      </c>
      <c r="K52" s="71">
        <f t="shared" si="4"/>
        <v>0.88280000000000003</v>
      </c>
      <c r="L52" s="71"/>
      <c r="M52" s="14"/>
      <c r="O52" s="6"/>
      <c r="P52" s="16"/>
      <c r="Q52" s="16"/>
      <c r="R52" s="2"/>
    </row>
    <row r="53" spans="1:18" ht="13.5" x14ac:dyDescent="0.25">
      <c r="A53" s="69">
        <f>'Espesor E5'!A53</f>
        <v>45</v>
      </c>
      <c r="B53" s="70">
        <f>'Espesor E5'!B53</f>
        <v>1</v>
      </c>
      <c r="C53" s="70">
        <f>'Espesor E5'!C53</f>
        <v>1</v>
      </c>
      <c r="D53" s="70">
        <f>'Espesor E5'!J53</f>
        <v>0.12</v>
      </c>
      <c r="E53" s="70">
        <f>CEILING(IF(TYPE(VLOOKUP(A53,'Espesor Equivalente'!$A$96:$S$115,19,FALSE))=16,D53,VLOOKUP(A53,'Espesor Equivalente'!$A$96:$S$115,19,FALSE)),0.01)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0.2</v>
      </c>
      <c r="K53" s="71">
        <f t="shared" si="4"/>
        <v>0.88280000000000003</v>
      </c>
      <c r="L53" s="71"/>
      <c r="M53" s="14"/>
      <c r="O53" s="17"/>
      <c r="P53" s="16"/>
      <c r="Q53" s="16"/>
      <c r="R53" s="2"/>
    </row>
    <row r="54" spans="1:18" ht="13.5" x14ac:dyDescent="0.25">
      <c r="A54" s="69">
        <f>'Espesor E5'!A54</f>
        <v>46</v>
      </c>
      <c r="B54" s="70">
        <f>'Espesor E5'!B54</f>
        <v>1</v>
      </c>
      <c r="C54" s="70">
        <f>'Espesor E5'!C54</f>
        <v>1</v>
      </c>
      <c r="D54" s="70">
        <f>'Espesor E5'!J54</f>
        <v>0.12</v>
      </c>
      <c r="E54" s="70">
        <f>CEILING(IF(TYPE(VLOOKUP(A54,'Espesor Equivalente'!$A$96:$S$115,19,FALSE))=16,D54,VLOOKUP(A54,'Espesor Equivalente'!$A$96:$S$115,19,FALSE)),0.01)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0.2</v>
      </c>
      <c r="K54" s="71">
        <f t="shared" si="4"/>
        <v>0.88280000000000003</v>
      </c>
      <c r="L54" s="71"/>
      <c r="M54" s="14"/>
      <c r="O54" s="6"/>
      <c r="P54" s="16"/>
      <c r="Q54" s="16"/>
      <c r="R54" s="2"/>
    </row>
    <row r="55" spans="1:18" ht="13.5" x14ac:dyDescent="0.25">
      <c r="A55" s="69">
        <f>'Espesor E5'!A55</f>
        <v>47</v>
      </c>
      <c r="B55" s="70">
        <f>'Espesor E5'!B55</f>
        <v>1</v>
      </c>
      <c r="C55" s="70">
        <f>'Espesor E5'!C55</f>
        <v>1</v>
      </c>
      <c r="D55" s="70">
        <f>'Espesor E5'!J55</f>
        <v>0.12</v>
      </c>
      <c r="E55" s="70">
        <f>CEILING(IF(TYPE(VLOOKUP(A55,'Espesor Equivalente'!$A$96:$S$115,19,FALSE))=16,D55,VLOOKUP(A55,'Espesor Equivalente'!$A$96:$S$115,19,FALSE)),0.01)</f>
        <v>0.12</v>
      </c>
      <c r="F55" s="20">
        <f t="shared" si="1"/>
        <v>1</v>
      </c>
      <c r="G55" s="80">
        <f t="shared" si="2"/>
        <v>0</v>
      </c>
      <c r="H55" s="20">
        <f t="shared" si="3"/>
        <v>0</v>
      </c>
      <c r="I55" s="20">
        <f>VLOOKUP(E55,Cargas!$D$8:$G$23,4,TRUE)+H55</f>
        <v>0.46899999999999997</v>
      </c>
      <c r="J55" s="75">
        <f t="shared" si="0"/>
        <v>0.2</v>
      </c>
      <c r="K55" s="71">
        <f t="shared" si="4"/>
        <v>0.88280000000000003</v>
      </c>
      <c r="L55" s="71"/>
      <c r="M55" s="14"/>
      <c r="O55" s="17"/>
      <c r="P55" s="16"/>
      <c r="Q55" s="16"/>
      <c r="R55" s="2"/>
    </row>
    <row r="56" spans="1:18" ht="13.5" x14ac:dyDescent="0.25">
      <c r="A56" s="69">
        <f>'Espesor E5'!A56</f>
        <v>48</v>
      </c>
      <c r="B56" s="70">
        <f>'Espesor E5'!B56</f>
        <v>1</v>
      </c>
      <c r="C56" s="70">
        <f>'Espesor E5'!C56</f>
        <v>1</v>
      </c>
      <c r="D56" s="70">
        <f>'Espesor E5'!J56</f>
        <v>0.12</v>
      </c>
      <c r="E56" s="70">
        <f>CEILING(IF(TYPE(VLOOKUP(A56,'Espesor Equivalente'!$A$96:$S$115,19,FALSE))=16,D56,VLOOKUP(A56,'Espesor Equivalente'!$A$96:$S$115,19,FALSE)),0.01)</f>
        <v>0.12</v>
      </c>
      <c r="F56" s="20">
        <f t="shared" si="1"/>
        <v>1</v>
      </c>
      <c r="G56" s="80">
        <f t="shared" si="2"/>
        <v>0</v>
      </c>
      <c r="H56" s="20">
        <f t="shared" si="3"/>
        <v>0</v>
      </c>
      <c r="I56" s="20">
        <f>VLOOKUP(E56,Cargas!$D$8:$G$23,4,TRUE)+H56</f>
        <v>0.46899999999999997</v>
      </c>
      <c r="J56" s="75">
        <f t="shared" si="0"/>
        <v>0.2</v>
      </c>
      <c r="K56" s="71">
        <f t="shared" si="4"/>
        <v>0.88280000000000003</v>
      </c>
      <c r="L56" s="71"/>
      <c r="M56" s="14"/>
      <c r="O56" s="17"/>
      <c r="P56" s="16"/>
      <c r="Q56" s="16"/>
      <c r="R56" s="2"/>
    </row>
    <row r="57" spans="1:18" ht="13.5" x14ac:dyDescent="0.25">
      <c r="A57" s="69">
        <f>'Espesor E5'!A57</f>
        <v>49</v>
      </c>
      <c r="B57" s="70">
        <f>'Espesor E5'!B57</f>
        <v>1</v>
      </c>
      <c r="C57" s="70">
        <f>'Espesor E5'!C57</f>
        <v>1</v>
      </c>
      <c r="D57" s="70">
        <f>'Espesor E5'!J57</f>
        <v>0.12</v>
      </c>
      <c r="E57" s="70">
        <f>CEILING(IF(TYPE(VLOOKUP(A57,'Espesor Equivalente'!$A$96:$S$115,19,FALSE))=16,D57,VLOOKUP(A57,'Espesor Equivalente'!$A$96:$S$115,19,FALSE)),0.01)</f>
        <v>0.12</v>
      </c>
      <c r="F57" s="20">
        <f t="shared" si="1"/>
        <v>1</v>
      </c>
      <c r="G57" s="80">
        <f t="shared" si="2"/>
        <v>0</v>
      </c>
      <c r="H57" s="20">
        <f t="shared" si="3"/>
        <v>0</v>
      </c>
      <c r="I57" s="20">
        <f>VLOOKUP(E57,Cargas!$D$8:$G$23,4,TRUE)+H57</f>
        <v>0.46899999999999997</v>
      </c>
      <c r="J57" s="75">
        <f t="shared" si="0"/>
        <v>0.2</v>
      </c>
      <c r="K57" s="71">
        <f t="shared" si="4"/>
        <v>0.88280000000000003</v>
      </c>
      <c r="L57" s="71"/>
      <c r="M57" s="14"/>
      <c r="O57" s="17"/>
      <c r="P57" s="16"/>
      <c r="Q57" s="16"/>
      <c r="R57" s="2"/>
    </row>
    <row r="58" spans="1:18" ht="13.5" x14ac:dyDescent="0.25">
      <c r="A58" s="69">
        <f>'Espesor E5'!A58</f>
        <v>50</v>
      </c>
      <c r="B58" s="70">
        <f>'Espesor E5'!B58</f>
        <v>1</v>
      </c>
      <c r="C58" s="70">
        <f>'Espesor E5'!C58</f>
        <v>1</v>
      </c>
      <c r="D58" s="70">
        <f>'Espesor E5'!J58</f>
        <v>0.12</v>
      </c>
      <c r="E58" s="70">
        <f>CEILING(IF(TYPE(VLOOKUP(A58,'Espesor Equivalente'!$A$96:$S$115,19,FALSE))=16,D58,VLOOKUP(A58,'Espesor Equivalente'!$A$96:$S$115,19,FALSE)),0.01)</f>
        <v>0.12</v>
      </c>
      <c r="F58" s="20">
        <f t="shared" si="1"/>
        <v>1</v>
      </c>
      <c r="G58" s="80">
        <f t="shared" si="2"/>
        <v>0</v>
      </c>
      <c r="H58" s="20">
        <f t="shared" si="3"/>
        <v>0</v>
      </c>
      <c r="I58" s="20">
        <f>VLOOKUP(E58,Cargas!$D$8:$G$23,4,TRUE)+H58</f>
        <v>0.46899999999999997</v>
      </c>
      <c r="J58" s="75">
        <f t="shared" si="0"/>
        <v>0.2</v>
      </c>
      <c r="K58" s="71">
        <f t="shared" si="4"/>
        <v>0.88280000000000003</v>
      </c>
      <c r="L58" s="71"/>
      <c r="M58" s="14"/>
      <c r="O58" s="17"/>
      <c r="P58" s="16"/>
      <c r="Q58" s="16"/>
      <c r="R58" s="2"/>
    </row>
    <row r="59" spans="1:18" ht="13.5" x14ac:dyDescent="0.25">
      <c r="I59" s="74">
        <f>AVERAGE(I9:I58)</f>
        <v>0.46900000000000019</v>
      </c>
      <c r="J59" s="74">
        <f>AVERAGE(J9:J58)</f>
        <v>0.19999999999999993</v>
      </c>
    </row>
  </sheetData>
  <mergeCells count="10">
    <mergeCell ref="K3:K4"/>
    <mergeCell ref="G4:J4"/>
    <mergeCell ref="M6:P7"/>
    <mergeCell ref="R11:S11"/>
    <mergeCell ref="B2:E2"/>
    <mergeCell ref="F2:G2"/>
    <mergeCell ref="H2:J2"/>
    <mergeCell ref="B3:E3"/>
    <mergeCell ref="F3:G3"/>
    <mergeCell ref="H3:J3"/>
  </mergeCells>
  <pageMargins left="0.7" right="0.7" top="0.75" bottom="0.75" header="0.3" footer="0.3"/>
  <pageSetup scale="91" orientation="portrait" horizontalDpi="4294967295" verticalDpi="0" r:id="rId1"/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14ED-6125-46CE-8EFD-1121CCA01041}">
  <sheetPr codeName="Hoja8"/>
  <dimension ref="A1:S59"/>
  <sheetViews>
    <sheetView zoomScaleNormal="100" workbookViewId="0">
      <selection activeCell="O9" sqref="O9"/>
    </sheetView>
  </sheetViews>
  <sheetFormatPr defaultColWidth="8.85546875" defaultRowHeight="12.75" x14ac:dyDescent="0.2"/>
  <cols>
    <col min="1" max="1" width="13.7109375" bestFit="1" customWidth="1"/>
    <col min="2" max="2" width="9" bestFit="1" customWidth="1"/>
    <col min="3" max="3" width="8.42578125" bestFit="1" customWidth="1"/>
    <col min="4" max="4" width="9" bestFit="1" customWidth="1"/>
    <col min="5" max="5" width="8.28515625" hidden="1" customWidth="1"/>
    <col min="6" max="6" width="10.28515625" bestFit="1" customWidth="1"/>
    <col min="7" max="7" width="9.42578125" bestFit="1" customWidth="1"/>
    <col min="8" max="8" width="10" customWidth="1"/>
    <col min="9" max="9" width="10.42578125" bestFit="1" customWidth="1"/>
    <col min="10" max="11" width="10" bestFit="1" customWidth="1"/>
    <col min="12" max="12" width="3.7109375" customWidth="1"/>
    <col min="13" max="13" width="7.42578125" bestFit="1" customWidth="1"/>
    <col min="14" max="16" width="4.140625" bestFit="1" customWidth="1"/>
    <col min="19" max="19" width="0" hidden="1" customWidth="1"/>
  </cols>
  <sheetData>
    <row r="1" spans="1:19" ht="14.2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S1" t="str">
        <f t="array" aca="1" ref="S1" ca="1">_xlfn.TEXTAFTER(CELL("filename",J2),"]")</f>
        <v xml:space="preserve">Carga Techo </v>
      </c>
    </row>
    <row r="2" spans="1:19" ht="18" customHeight="1" x14ac:dyDescent="0.25">
      <c r="A2" s="7"/>
      <c r="B2" s="229" t="str">
        <f>'Espesor Earlette'!B2:D2</f>
        <v>INGENIERO DEMO</v>
      </c>
      <c r="C2" s="214"/>
      <c r="D2" s="214"/>
      <c r="E2" s="215"/>
      <c r="F2" s="216" t="s">
        <v>0</v>
      </c>
      <c r="G2" s="217"/>
      <c r="H2" s="228" t="str">
        <f>'Espesor Techo'!G2</f>
        <v>Proyecto Demo</v>
      </c>
      <c r="I2" s="218"/>
      <c r="J2" s="219"/>
      <c r="K2" s="8" t="s">
        <v>1</v>
      </c>
      <c r="L2" s="92"/>
      <c r="S2" t="str">
        <f ca="1">_xlfn.TEXTAFTER(S1,"Carga")</f>
        <v xml:space="preserve"> Techo </v>
      </c>
    </row>
    <row r="3" spans="1:19" ht="18" customHeight="1" x14ac:dyDescent="0.25">
      <c r="A3" s="9"/>
      <c r="B3" s="226" t="str">
        <f>'Espesor Earlette'!B3:D3</f>
        <v>INGENIERO CIVIL</v>
      </c>
      <c r="C3" s="211"/>
      <c r="D3" s="211"/>
      <c r="E3" s="212"/>
      <c r="F3" s="200" t="s">
        <v>3</v>
      </c>
      <c r="G3" s="201"/>
      <c r="H3" s="220">
        <f>'Espesor Earlette'!G3</f>
        <v>45904</v>
      </c>
      <c r="I3" s="221"/>
      <c r="J3" s="222"/>
      <c r="K3" s="202">
        <f>1+'Espesor Techo'!J3:J4</f>
        <v>2</v>
      </c>
      <c r="L3" s="93"/>
    </row>
    <row r="4" spans="1:19" ht="18" customHeight="1" thickBot="1" x14ac:dyDescent="0.3">
      <c r="A4" s="10"/>
      <c r="B4" s="76" t="s">
        <v>102</v>
      </c>
      <c r="C4" s="53">
        <f>'Espesor Earlette'!C4</f>
        <v>0</v>
      </c>
      <c r="D4" s="56" t="s">
        <v>102</v>
      </c>
      <c r="E4" s="53"/>
      <c r="F4" s="12" t="s">
        <v>4</v>
      </c>
      <c r="G4" s="223" t="str">
        <f ca="1">_xlfn.CONCAT("Carga"," ","de"," ","Losas"," ",S2)</f>
        <v xml:space="preserve">Carga de Losas  Techo </v>
      </c>
      <c r="H4" s="224"/>
      <c r="I4" s="224"/>
      <c r="J4" s="225"/>
      <c r="K4" s="203"/>
      <c r="L4" s="93"/>
    </row>
    <row r="5" spans="1:19" ht="13.5" x14ac:dyDescent="0.25">
      <c r="A5" s="61"/>
      <c r="B5" s="1"/>
      <c r="C5" s="1"/>
      <c r="D5" s="1"/>
      <c r="E5" s="1"/>
      <c r="F5" s="61"/>
      <c r="G5" s="61"/>
      <c r="H5" s="61"/>
      <c r="I5" s="61"/>
      <c r="J5" s="61"/>
      <c r="K5" s="61"/>
    </row>
    <row r="6" spans="1:19" ht="13.5" x14ac:dyDescent="0.25">
      <c r="A6" s="19" t="s">
        <v>53</v>
      </c>
      <c r="B6" s="62">
        <f>COUNT(A9:A58)</f>
        <v>50</v>
      </c>
      <c r="C6" s="19" t="s">
        <v>42</v>
      </c>
      <c r="D6" s="1"/>
      <c r="E6" s="63">
        <f>'Espesor Techo'!D6</f>
        <v>4200</v>
      </c>
      <c r="F6" s="61" t="s">
        <v>43</v>
      </c>
      <c r="G6" s="1"/>
      <c r="H6" s="1"/>
      <c r="I6" s="61"/>
      <c r="J6" s="61"/>
      <c r="K6" s="61"/>
      <c r="M6" s="230" t="s">
        <v>119</v>
      </c>
      <c r="N6" s="230"/>
      <c r="O6" s="230"/>
      <c r="P6" s="230"/>
    </row>
    <row r="7" spans="1:19" ht="14.25" thickBot="1" x14ac:dyDescent="0.3">
      <c r="A7" s="1"/>
      <c r="B7" s="1"/>
      <c r="C7" s="61"/>
      <c r="D7" s="61"/>
      <c r="E7" s="61"/>
      <c r="F7" s="61"/>
      <c r="G7" s="61"/>
      <c r="H7" s="61"/>
      <c r="I7" s="61">
        <f>Cargas!R48</f>
        <v>1.2</v>
      </c>
      <c r="J7" s="61">
        <f>Cargas!S48</f>
        <v>1.6</v>
      </c>
      <c r="K7" s="61"/>
      <c r="M7" s="230"/>
      <c r="N7" s="230"/>
      <c r="O7" s="230"/>
      <c r="P7" s="230"/>
    </row>
    <row r="8" spans="1:19" s="85" customFormat="1" ht="33.75" customHeight="1" thickBot="1" x14ac:dyDescent="0.3">
      <c r="A8" s="64" t="s">
        <v>44</v>
      </c>
      <c r="B8" s="65" t="s">
        <v>54</v>
      </c>
      <c r="C8" s="65" t="s">
        <v>55</v>
      </c>
      <c r="D8" s="66" t="s">
        <v>57</v>
      </c>
      <c r="E8" s="66" t="s">
        <v>95</v>
      </c>
      <c r="F8" s="66" t="s">
        <v>109</v>
      </c>
      <c r="G8" s="66" t="s">
        <v>56</v>
      </c>
      <c r="H8" s="66" t="s">
        <v>110</v>
      </c>
      <c r="I8" s="66" t="s">
        <v>111</v>
      </c>
      <c r="J8" s="67" t="s">
        <v>112</v>
      </c>
      <c r="K8" s="68" t="s">
        <v>113</v>
      </c>
      <c r="L8" s="91"/>
      <c r="M8" s="91" t="s">
        <v>120</v>
      </c>
      <c r="N8" s="85">
        <v>20</v>
      </c>
      <c r="O8" s="85">
        <v>15</v>
      </c>
      <c r="P8" s="85">
        <v>10</v>
      </c>
    </row>
    <row r="9" spans="1:19" ht="13.5" x14ac:dyDescent="0.25">
      <c r="A9" s="69">
        <f>'Espesor Techo'!A9</f>
        <v>1</v>
      </c>
      <c r="B9" s="70">
        <f>'Espesor Techo'!B9</f>
        <v>1</v>
      </c>
      <c r="C9" s="70">
        <f>'Espesor Techo'!C9</f>
        <v>1</v>
      </c>
      <c r="D9" s="70">
        <f>'Espesor Techo'!J9</f>
        <v>0.12</v>
      </c>
      <c r="E9" s="70">
        <f>CEILING(IF(TYPE(VLOOKUP(A9,'Espesor Equivalente'!$A$117:$S$136,19,FALSE))=16,D9,VLOOKUP(A9,'Espesor Equivalente'!$A$117:$S$136,19,FALSE)),0.01)</f>
        <v>0.12</v>
      </c>
      <c r="F9" s="20">
        <f>B9*C9</f>
        <v>1</v>
      </c>
      <c r="G9" s="80">
        <f>1.8*IF(M9=0,2.8-D9,M9-D9)*(0.2*N9+0.15*O9+0.1*P9)</f>
        <v>0</v>
      </c>
      <c r="H9" s="20">
        <f>IF(G9=0,0,MAX(0.1,G9/F9))</f>
        <v>0</v>
      </c>
      <c r="I9" s="20">
        <f>VLOOKUP(E9,Cargas!$D$8:$G$23,4,TRUE)+H9</f>
        <v>0.46899999999999997</v>
      </c>
      <c r="J9" s="75">
        <f t="shared" ref="J9:J58" si="0">qlt</f>
        <v>0.1</v>
      </c>
      <c r="K9" s="71">
        <f>$I$7*I9+$J$7*J9</f>
        <v>0.7228</v>
      </c>
      <c r="L9" s="71"/>
      <c r="M9" s="14"/>
    </row>
    <row r="10" spans="1:19" ht="13.5" x14ac:dyDescent="0.25">
      <c r="A10" s="69">
        <f>'Espesor Techo'!A10</f>
        <v>2</v>
      </c>
      <c r="B10" s="70">
        <f>'Espesor Techo'!B10</f>
        <v>1</v>
      </c>
      <c r="C10" s="70">
        <f>'Espesor Techo'!C10</f>
        <v>1</v>
      </c>
      <c r="D10" s="70">
        <f>'Espesor Techo'!J10</f>
        <v>0.12</v>
      </c>
      <c r="E10" s="70">
        <f>CEILING(IF(TYPE(VLOOKUP(A10,'Espesor Equivalente'!$A$117:$S$136,19,FALSE))=16,D10,VLOOKUP(A10,'Espesor Equivalente'!$A$117:$S$136,19,FALSE)),0.01)</f>
        <v>0.12</v>
      </c>
      <c r="F10" s="20">
        <f t="shared" ref="F10:F54" si="1">B10*C10</f>
        <v>1</v>
      </c>
      <c r="G10" s="80">
        <f t="shared" ref="G10:G58" si="2">1.8*IF(M10=0,2.8-D10,M10-D10)*(0.2*N10+0.15*O10+0.1*P10)</f>
        <v>0</v>
      </c>
      <c r="H10" s="20">
        <f t="shared" ref="H10:H54" si="3">IF(G10=0,0,MAX(0.1,G10/F10))</f>
        <v>0</v>
      </c>
      <c r="I10" s="20">
        <f>VLOOKUP(E10,Cargas!$D$8:$G$23,4,TRUE)+H10</f>
        <v>0.46899999999999997</v>
      </c>
      <c r="J10" s="75">
        <f t="shared" si="0"/>
        <v>0.1</v>
      </c>
      <c r="K10" s="71">
        <f t="shared" ref="K10:K58" si="4">$I$7*I10+$J$7*J10</f>
        <v>0.7228</v>
      </c>
      <c r="L10" s="71"/>
      <c r="M10" s="14"/>
    </row>
    <row r="11" spans="1:19" ht="13.5" x14ac:dyDescent="0.25">
      <c r="A11" s="69">
        <f>'Espesor Techo'!A11</f>
        <v>3</v>
      </c>
      <c r="B11" s="70">
        <f>'Espesor Techo'!B11</f>
        <v>1</v>
      </c>
      <c r="C11" s="70">
        <f>'Espesor Techo'!C11</f>
        <v>1</v>
      </c>
      <c r="D11" s="70">
        <f>'Espesor Techo'!J11</f>
        <v>0.12</v>
      </c>
      <c r="E11" s="70">
        <f>CEILING(IF(TYPE(VLOOKUP(A11,'Espesor Equivalente'!$A$117:$S$136,19,FALSE))=16,D11,VLOOKUP(A11,'Espesor Equivalente'!$A$117:$S$136,19,FALSE)),0.01)</f>
        <v>0.12</v>
      </c>
      <c r="F11" s="20">
        <f t="shared" si="1"/>
        <v>1</v>
      </c>
      <c r="G11" s="80">
        <f t="shared" si="2"/>
        <v>0</v>
      </c>
      <c r="H11" s="20">
        <f t="shared" si="3"/>
        <v>0</v>
      </c>
      <c r="I11" s="20">
        <f>VLOOKUP(E11,Cargas!$D$8:$G$23,4,TRUE)+H11</f>
        <v>0.46899999999999997</v>
      </c>
      <c r="J11" s="75">
        <f t="shared" si="0"/>
        <v>0.1</v>
      </c>
      <c r="K11" s="71">
        <f t="shared" si="4"/>
        <v>0.7228</v>
      </c>
      <c r="L11" s="71"/>
      <c r="M11" s="14"/>
      <c r="Q11" s="16"/>
      <c r="R11" s="231"/>
      <c r="S11" s="231"/>
    </row>
    <row r="12" spans="1:19" ht="13.5" x14ac:dyDescent="0.25">
      <c r="A12" s="69">
        <f>'Espesor Techo'!A12</f>
        <v>4</v>
      </c>
      <c r="B12" s="70">
        <f>'Espesor Techo'!B12</f>
        <v>1</v>
      </c>
      <c r="C12" s="70">
        <f>'Espesor Techo'!C12</f>
        <v>1</v>
      </c>
      <c r="D12" s="70">
        <f>'Espesor Techo'!J12</f>
        <v>0.12</v>
      </c>
      <c r="E12" s="70">
        <f>CEILING(IF(TYPE(VLOOKUP(A12,'Espesor Equivalente'!$A$117:$S$136,19,FALSE))=16,D12,VLOOKUP(A12,'Espesor Equivalente'!$A$117:$S$136,19,FALSE)),0.01)</f>
        <v>0.12</v>
      </c>
      <c r="F12" s="20">
        <f t="shared" si="1"/>
        <v>1</v>
      </c>
      <c r="G12" s="80">
        <f t="shared" si="2"/>
        <v>0</v>
      </c>
      <c r="H12" s="20">
        <f t="shared" si="3"/>
        <v>0</v>
      </c>
      <c r="I12" s="20">
        <f>VLOOKUP(E12,Cargas!$D$8:$G$23,4,TRUE)+H12</f>
        <v>0.46899999999999997</v>
      </c>
      <c r="J12" s="75">
        <f t="shared" si="0"/>
        <v>0.1</v>
      </c>
      <c r="K12" s="71">
        <f t="shared" si="4"/>
        <v>0.7228</v>
      </c>
      <c r="L12" s="71"/>
      <c r="M12" s="14"/>
      <c r="Q12" s="16"/>
      <c r="R12" s="6"/>
      <c r="S12" s="6"/>
    </row>
    <row r="13" spans="1:19" ht="13.5" x14ac:dyDescent="0.25">
      <c r="A13" s="69">
        <f>'Espesor Techo'!A13</f>
        <v>5</v>
      </c>
      <c r="B13" s="70">
        <f>'Espesor Techo'!B13</f>
        <v>1</v>
      </c>
      <c r="C13" s="70">
        <f>'Espesor Techo'!C13</f>
        <v>1</v>
      </c>
      <c r="D13" s="70">
        <f>'Espesor Techo'!J13</f>
        <v>0.12</v>
      </c>
      <c r="E13" s="70">
        <f>CEILING(IF(TYPE(VLOOKUP(A13,'Espesor Equivalente'!$A$117:$S$136,19,FALSE))=16,D13,VLOOKUP(A13,'Espesor Equivalente'!$A$117:$S$136,19,FALSE)),0.01)</f>
        <v>0.12</v>
      </c>
      <c r="F13" s="20">
        <f t="shared" si="1"/>
        <v>1</v>
      </c>
      <c r="G13" s="80">
        <f t="shared" si="2"/>
        <v>0</v>
      </c>
      <c r="H13" s="20">
        <f t="shared" si="3"/>
        <v>0</v>
      </c>
      <c r="I13" s="20">
        <f>VLOOKUP(E13,Cargas!$D$8:$G$23,4,TRUE)+H13</f>
        <v>0.46899999999999997</v>
      </c>
      <c r="J13" s="75">
        <f t="shared" si="0"/>
        <v>0.1</v>
      </c>
      <c r="K13" s="71">
        <f t="shared" si="4"/>
        <v>0.7228</v>
      </c>
      <c r="L13" s="71"/>
      <c r="M13" s="14"/>
      <c r="Q13" s="16"/>
      <c r="R13" s="6"/>
      <c r="S13" s="6"/>
    </row>
    <row r="14" spans="1:19" ht="13.5" x14ac:dyDescent="0.25">
      <c r="A14" s="69">
        <f>'Espesor Techo'!A14</f>
        <v>6</v>
      </c>
      <c r="B14" s="70">
        <f>'Espesor Techo'!B14</f>
        <v>1</v>
      </c>
      <c r="C14" s="70">
        <f>'Espesor Techo'!C14</f>
        <v>1</v>
      </c>
      <c r="D14" s="70">
        <f>'Espesor Techo'!J14</f>
        <v>0.12</v>
      </c>
      <c r="E14" s="70">
        <f>CEILING(IF(TYPE(VLOOKUP(A14,'Espesor Equivalente'!$A$117:$S$136,19,FALSE))=16,D14,VLOOKUP(A14,'Espesor Equivalente'!$A$117:$S$136,19,FALSE)),0.01)</f>
        <v>0.12</v>
      </c>
      <c r="F14" s="20">
        <f t="shared" si="1"/>
        <v>1</v>
      </c>
      <c r="G14" s="80">
        <f t="shared" si="2"/>
        <v>0</v>
      </c>
      <c r="H14" s="20">
        <f t="shared" si="3"/>
        <v>0</v>
      </c>
      <c r="I14" s="20">
        <f>VLOOKUP(E14,Cargas!$D$8:$G$23,4,TRUE)+H14</f>
        <v>0.46899999999999997</v>
      </c>
      <c r="J14" s="75">
        <f t="shared" si="0"/>
        <v>0.1</v>
      </c>
      <c r="K14" s="71">
        <f t="shared" si="4"/>
        <v>0.7228</v>
      </c>
      <c r="L14" s="71"/>
      <c r="M14" s="14"/>
      <c r="Q14" s="16"/>
      <c r="R14" s="6"/>
      <c r="S14" s="6"/>
    </row>
    <row r="15" spans="1:19" ht="13.5" x14ac:dyDescent="0.25">
      <c r="A15" s="69">
        <f>'Espesor Techo'!A15</f>
        <v>7</v>
      </c>
      <c r="B15" s="70">
        <f>'Espesor Techo'!B15</f>
        <v>1</v>
      </c>
      <c r="C15" s="70">
        <f>'Espesor Techo'!C15</f>
        <v>1</v>
      </c>
      <c r="D15" s="70">
        <f>'Espesor Techo'!J15</f>
        <v>0.12</v>
      </c>
      <c r="E15" s="70">
        <f>CEILING(IF(TYPE(VLOOKUP(A15,'Espesor Equivalente'!$A$117:$S$136,19,FALSE))=16,D15,VLOOKUP(A15,'Espesor Equivalente'!$A$117:$S$136,19,FALSE)),0.01)</f>
        <v>0.12</v>
      </c>
      <c r="F15" s="20">
        <f t="shared" si="1"/>
        <v>1</v>
      </c>
      <c r="G15" s="80">
        <f t="shared" si="2"/>
        <v>0</v>
      </c>
      <c r="H15" s="20">
        <f t="shared" si="3"/>
        <v>0</v>
      </c>
      <c r="I15" s="20">
        <f>VLOOKUP(E15,Cargas!$D$8:$G$23,4,TRUE)+H15</f>
        <v>0.46899999999999997</v>
      </c>
      <c r="J15" s="75">
        <f t="shared" si="0"/>
        <v>0.1</v>
      </c>
      <c r="K15" s="71">
        <f t="shared" si="4"/>
        <v>0.7228</v>
      </c>
      <c r="L15" s="71"/>
      <c r="M15" s="14"/>
      <c r="Q15" s="16"/>
      <c r="R15" s="6"/>
      <c r="S15" s="6"/>
    </row>
    <row r="16" spans="1:19" ht="13.5" x14ac:dyDescent="0.25">
      <c r="A16" s="69">
        <f>'Espesor Techo'!A16</f>
        <v>8</v>
      </c>
      <c r="B16" s="70">
        <f>'Espesor Techo'!B16</f>
        <v>1</v>
      </c>
      <c r="C16" s="70">
        <f>'Espesor Techo'!C16</f>
        <v>1</v>
      </c>
      <c r="D16" s="70">
        <f>'Espesor Techo'!J16</f>
        <v>0.12</v>
      </c>
      <c r="E16" s="70">
        <f>CEILING(IF(TYPE(VLOOKUP(A16,'Espesor Equivalente'!$A$117:$S$136,19,FALSE))=16,D16,VLOOKUP(A16,'Espesor Equivalente'!$A$117:$S$136,19,FALSE)),0.01)</f>
        <v>0.12</v>
      </c>
      <c r="F16" s="20">
        <f t="shared" si="1"/>
        <v>1</v>
      </c>
      <c r="G16" s="80">
        <f t="shared" si="2"/>
        <v>0</v>
      </c>
      <c r="H16" s="20">
        <f t="shared" si="3"/>
        <v>0</v>
      </c>
      <c r="I16" s="20">
        <f>VLOOKUP(E16,Cargas!$D$8:$G$23,4,TRUE)+H16</f>
        <v>0.46899999999999997</v>
      </c>
      <c r="J16" s="75">
        <f t="shared" si="0"/>
        <v>0.1</v>
      </c>
      <c r="K16" s="71">
        <f t="shared" si="4"/>
        <v>0.7228</v>
      </c>
      <c r="L16" s="71"/>
      <c r="M16" s="14"/>
      <c r="Q16" s="16"/>
      <c r="R16" s="6"/>
      <c r="S16" s="6"/>
    </row>
    <row r="17" spans="1:19" ht="13.5" x14ac:dyDescent="0.25">
      <c r="A17" s="69">
        <f>'Espesor Techo'!A17</f>
        <v>9</v>
      </c>
      <c r="B17" s="70">
        <f>'Espesor Techo'!B17</f>
        <v>1</v>
      </c>
      <c r="C17" s="70">
        <f>'Espesor Techo'!C17</f>
        <v>1</v>
      </c>
      <c r="D17" s="70">
        <f>'Espesor Techo'!J17</f>
        <v>0.12</v>
      </c>
      <c r="E17" s="70">
        <f>CEILING(IF(TYPE(VLOOKUP(A17,'Espesor Equivalente'!$A$117:$S$136,19,FALSE))=16,D17,VLOOKUP(A17,'Espesor Equivalente'!$A$117:$S$136,19,FALSE)),0.01)</f>
        <v>0.12</v>
      </c>
      <c r="F17" s="20">
        <f t="shared" si="1"/>
        <v>1</v>
      </c>
      <c r="G17" s="80">
        <f t="shared" si="2"/>
        <v>0</v>
      </c>
      <c r="H17" s="20">
        <f t="shared" si="3"/>
        <v>0</v>
      </c>
      <c r="I17" s="20">
        <f>VLOOKUP(E17,Cargas!$D$8:$G$23,4,TRUE)+H17</f>
        <v>0.46899999999999997</v>
      </c>
      <c r="J17" s="75">
        <f t="shared" si="0"/>
        <v>0.1</v>
      </c>
      <c r="K17" s="71">
        <f t="shared" si="4"/>
        <v>0.7228</v>
      </c>
      <c r="L17" s="71"/>
      <c r="M17" s="14"/>
      <c r="Q17" s="16"/>
      <c r="R17" s="6"/>
      <c r="S17" s="6"/>
    </row>
    <row r="18" spans="1:19" ht="13.5" x14ac:dyDescent="0.25">
      <c r="A18" s="69">
        <f>'Espesor Techo'!A18</f>
        <v>10</v>
      </c>
      <c r="B18" s="70">
        <f>'Espesor Techo'!B18</f>
        <v>1</v>
      </c>
      <c r="C18" s="70">
        <f>'Espesor Techo'!C18</f>
        <v>1</v>
      </c>
      <c r="D18" s="70">
        <f>'Espesor Techo'!J18</f>
        <v>0.12</v>
      </c>
      <c r="E18" s="70">
        <f>CEILING(IF(TYPE(VLOOKUP(A18,'Espesor Equivalente'!$A$117:$S$136,19,FALSE))=16,D18,VLOOKUP(A18,'Espesor Equivalente'!$A$117:$S$136,19,FALSE)),0.01)</f>
        <v>0.12</v>
      </c>
      <c r="F18" s="20">
        <f t="shared" si="1"/>
        <v>1</v>
      </c>
      <c r="G18" s="80">
        <f t="shared" si="2"/>
        <v>0</v>
      </c>
      <c r="H18" s="20">
        <f t="shared" si="3"/>
        <v>0</v>
      </c>
      <c r="I18" s="20">
        <f>VLOOKUP(E18,Cargas!$D$8:$G$23,4,TRUE)+H18</f>
        <v>0.46899999999999997</v>
      </c>
      <c r="J18" s="75">
        <f t="shared" si="0"/>
        <v>0.1</v>
      </c>
      <c r="K18" s="71">
        <f t="shared" si="4"/>
        <v>0.7228</v>
      </c>
      <c r="L18" s="71"/>
      <c r="M18" s="14"/>
      <c r="Q18" s="16"/>
      <c r="R18" s="6"/>
      <c r="S18" s="6"/>
    </row>
    <row r="19" spans="1:19" ht="13.5" x14ac:dyDescent="0.25">
      <c r="A19" s="69">
        <f>'Espesor Techo'!A19</f>
        <v>11</v>
      </c>
      <c r="B19" s="70">
        <f>'Espesor Techo'!B19</f>
        <v>1</v>
      </c>
      <c r="C19" s="70">
        <f>'Espesor Techo'!C19</f>
        <v>1</v>
      </c>
      <c r="D19" s="70">
        <f>'Espesor Techo'!J19</f>
        <v>0.12</v>
      </c>
      <c r="E19" s="70">
        <f>CEILING(IF(TYPE(VLOOKUP(A19,'Espesor Equivalente'!$A$117:$S$136,19,FALSE))=16,D19,VLOOKUP(A19,'Espesor Equivalente'!$A$117:$S$136,19,FALSE)),0.01)</f>
        <v>0.12</v>
      </c>
      <c r="F19" s="20">
        <f t="shared" si="1"/>
        <v>1</v>
      </c>
      <c r="G19" s="80">
        <f t="shared" si="2"/>
        <v>0</v>
      </c>
      <c r="H19" s="20">
        <f t="shared" si="3"/>
        <v>0</v>
      </c>
      <c r="I19" s="20">
        <f>VLOOKUP(E19,Cargas!$D$8:$G$23,4,TRUE)+H19</f>
        <v>0.46899999999999997</v>
      </c>
      <c r="J19" s="75">
        <f t="shared" si="0"/>
        <v>0.1</v>
      </c>
      <c r="K19" s="71">
        <f t="shared" si="4"/>
        <v>0.7228</v>
      </c>
      <c r="L19" s="71"/>
      <c r="M19" s="14"/>
      <c r="Q19" s="16"/>
      <c r="R19" s="6"/>
      <c r="S19" s="6"/>
    </row>
    <row r="20" spans="1:19" ht="13.5" x14ac:dyDescent="0.25">
      <c r="A20" s="69">
        <f>'Espesor Techo'!A20</f>
        <v>12</v>
      </c>
      <c r="B20" s="70">
        <f>'Espesor Techo'!B20</f>
        <v>1</v>
      </c>
      <c r="C20" s="70">
        <f>'Espesor Techo'!C20</f>
        <v>1</v>
      </c>
      <c r="D20" s="70">
        <f>'Espesor Techo'!J20</f>
        <v>0.12</v>
      </c>
      <c r="E20" s="70">
        <f>CEILING(IF(TYPE(VLOOKUP(A20,'Espesor Equivalente'!$A$117:$S$136,19,FALSE))=16,D20,VLOOKUP(A20,'Espesor Equivalente'!$A$117:$S$136,19,FALSE)),0.01)</f>
        <v>0.12</v>
      </c>
      <c r="F20" s="20">
        <f t="shared" si="1"/>
        <v>1</v>
      </c>
      <c r="G20" s="80">
        <f t="shared" si="2"/>
        <v>0</v>
      </c>
      <c r="H20" s="20">
        <f t="shared" si="3"/>
        <v>0</v>
      </c>
      <c r="I20" s="20">
        <f>VLOOKUP(E20,Cargas!$D$8:$G$23,4,TRUE)+H20</f>
        <v>0.46899999999999997</v>
      </c>
      <c r="J20" s="75">
        <f t="shared" si="0"/>
        <v>0.1</v>
      </c>
      <c r="K20" s="71">
        <f t="shared" si="4"/>
        <v>0.7228</v>
      </c>
      <c r="L20" s="71"/>
      <c r="M20" s="14"/>
      <c r="Q20" s="16"/>
      <c r="R20" s="6"/>
      <c r="S20" s="6"/>
    </row>
    <row r="21" spans="1:19" ht="13.5" x14ac:dyDescent="0.25">
      <c r="A21" s="69">
        <f>'Espesor Techo'!A21</f>
        <v>13</v>
      </c>
      <c r="B21" s="70">
        <f>'Espesor Techo'!B21</f>
        <v>1</v>
      </c>
      <c r="C21" s="70">
        <f>'Espesor Techo'!C21</f>
        <v>1</v>
      </c>
      <c r="D21" s="70">
        <f>'Espesor Techo'!J21</f>
        <v>0.12</v>
      </c>
      <c r="E21" s="70">
        <f>CEILING(IF(TYPE(VLOOKUP(A21,'Espesor Equivalente'!$A$117:$S$136,19,FALSE))=16,D21,VLOOKUP(A21,'Espesor Equivalente'!$A$117:$S$136,19,FALSE)),0.01)</f>
        <v>0.12</v>
      </c>
      <c r="F21" s="20">
        <f t="shared" si="1"/>
        <v>1</v>
      </c>
      <c r="G21" s="80">
        <f t="shared" si="2"/>
        <v>0</v>
      </c>
      <c r="H21" s="20">
        <f t="shared" si="3"/>
        <v>0</v>
      </c>
      <c r="I21" s="20">
        <f>VLOOKUP(E21,Cargas!$D$8:$G$23,4,TRUE)+H21</f>
        <v>0.46899999999999997</v>
      </c>
      <c r="J21" s="75">
        <f t="shared" si="0"/>
        <v>0.1</v>
      </c>
      <c r="K21" s="71">
        <f t="shared" si="4"/>
        <v>0.7228</v>
      </c>
      <c r="L21" s="71"/>
      <c r="M21" s="14"/>
      <c r="Q21" s="16"/>
      <c r="R21" s="6"/>
      <c r="S21" s="6"/>
    </row>
    <row r="22" spans="1:19" ht="13.5" x14ac:dyDescent="0.25">
      <c r="A22" s="69">
        <f>'Espesor Techo'!A22</f>
        <v>14</v>
      </c>
      <c r="B22" s="70">
        <f>'Espesor Techo'!B22</f>
        <v>1</v>
      </c>
      <c r="C22" s="70">
        <f>'Espesor Techo'!C22</f>
        <v>1</v>
      </c>
      <c r="D22" s="70">
        <f>'Espesor Techo'!J22</f>
        <v>0.12</v>
      </c>
      <c r="E22" s="70">
        <f>CEILING(IF(TYPE(VLOOKUP(A22,'Espesor Equivalente'!$A$117:$S$136,19,FALSE))=16,D22,VLOOKUP(A22,'Espesor Equivalente'!$A$117:$S$136,19,FALSE)),0.01)</f>
        <v>0.12</v>
      </c>
      <c r="F22" s="20">
        <f t="shared" si="1"/>
        <v>1</v>
      </c>
      <c r="G22" s="80">
        <f t="shared" si="2"/>
        <v>0</v>
      </c>
      <c r="H22" s="20">
        <f t="shared" si="3"/>
        <v>0</v>
      </c>
      <c r="I22" s="20">
        <f>VLOOKUP(E22,Cargas!$D$8:$G$23,4,TRUE)+H22</f>
        <v>0.46899999999999997</v>
      </c>
      <c r="J22" s="75">
        <f t="shared" si="0"/>
        <v>0.1</v>
      </c>
      <c r="K22" s="71">
        <f t="shared" si="4"/>
        <v>0.7228</v>
      </c>
      <c r="L22" s="71"/>
      <c r="M22" s="14"/>
      <c r="Q22" s="16"/>
      <c r="R22" s="6"/>
      <c r="S22" s="6"/>
    </row>
    <row r="23" spans="1:19" ht="13.5" x14ac:dyDescent="0.25">
      <c r="A23" s="69">
        <f>'Espesor Techo'!A23</f>
        <v>15</v>
      </c>
      <c r="B23" s="70">
        <f>'Espesor Techo'!B23</f>
        <v>1</v>
      </c>
      <c r="C23" s="70">
        <f>'Espesor Techo'!C23</f>
        <v>1</v>
      </c>
      <c r="D23" s="70">
        <f>'Espesor Techo'!J23</f>
        <v>0.12</v>
      </c>
      <c r="E23" s="70">
        <f>CEILING(IF(TYPE(VLOOKUP(A23,'Espesor Equivalente'!$A$117:$S$136,19,FALSE))=16,D23,VLOOKUP(A23,'Espesor Equivalente'!$A$117:$S$136,19,FALSE)),0.01)</f>
        <v>0.12</v>
      </c>
      <c r="F23" s="20">
        <f t="shared" si="1"/>
        <v>1</v>
      </c>
      <c r="G23" s="80">
        <f t="shared" si="2"/>
        <v>0</v>
      </c>
      <c r="H23" s="20">
        <f t="shared" si="3"/>
        <v>0</v>
      </c>
      <c r="I23" s="20">
        <f>VLOOKUP(E23,Cargas!$D$8:$G$23,4,TRUE)+H23</f>
        <v>0.46899999999999997</v>
      </c>
      <c r="J23" s="75">
        <f t="shared" si="0"/>
        <v>0.1</v>
      </c>
      <c r="K23" s="71">
        <f t="shared" si="4"/>
        <v>0.7228</v>
      </c>
      <c r="L23" s="71"/>
      <c r="M23" s="14"/>
      <c r="Q23" s="16"/>
      <c r="R23" s="6"/>
      <c r="S23" s="6"/>
    </row>
    <row r="24" spans="1:19" ht="13.5" x14ac:dyDescent="0.25">
      <c r="A24" s="69">
        <f>'Espesor Techo'!A24</f>
        <v>16</v>
      </c>
      <c r="B24" s="70">
        <f>'Espesor Techo'!B24</f>
        <v>1</v>
      </c>
      <c r="C24" s="70">
        <f>'Espesor Techo'!C24</f>
        <v>1</v>
      </c>
      <c r="D24" s="70">
        <f>'Espesor Techo'!J24</f>
        <v>0.12</v>
      </c>
      <c r="E24" s="70">
        <f>CEILING(IF(TYPE(VLOOKUP(A24,'Espesor Equivalente'!$A$117:$S$136,19,FALSE))=16,D24,VLOOKUP(A24,'Espesor Equivalente'!$A$117:$S$136,19,FALSE)),0.01)</f>
        <v>0.12</v>
      </c>
      <c r="F24" s="20">
        <f t="shared" si="1"/>
        <v>1</v>
      </c>
      <c r="G24" s="80">
        <f t="shared" si="2"/>
        <v>0</v>
      </c>
      <c r="H24" s="20">
        <f t="shared" si="3"/>
        <v>0</v>
      </c>
      <c r="I24" s="20">
        <f>VLOOKUP(E24,Cargas!$D$8:$G$23,4,TRUE)+H24</f>
        <v>0.46899999999999997</v>
      </c>
      <c r="J24" s="75">
        <f t="shared" si="0"/>
        <v>0.1</v>
      </c>
      <c r="K24" s="71">
        <f t="shared" si="4"/>
        <v>0.7228</v>
      </c>
      <c r="L24" s="71"/>
      <c r="M24" s="14"/>
      <c r="Q24" s="16"/>
      <c r="R24" s="6"/>
      <c r="S24" s="6"/>
    </row>
    <row r="25" spans="1:19" ht="13.5" x14ac:dyDescent="0.25">
      <c r="A25" s="69">
        <f>'Espesor Techo'!A25</f>
        <v>17</v>
      </c>
      <c r="B25" s="70">
        <f>'Espesor Techo'!B25</f>
        <v>1</v>
      </c>
      <c r="C25" s="70">
        <f>'Espesor Techo'!C25</f>
        <v>1</v>
      </c>
      <c r="D25" s="70">
        <f>'Espesor Techo'!J25</f>
        <v>0.12</v>
      </c>
      <c r="E25" s="70">
        <f>CEILING(IF(TYPE(VLOOKUP(A25,'Espesor Equivalente'!$A$117:$S$136,19,FALSE))=16,D25,VLOOKUP(A25,'Espesor Equivalente'!$A$117:$S$136,19,FALSE)),0.01)</f>
        <v>0.12</v>
      </c>
      <c r="F25" s="20">
        <f t="shared" si="1"/>
        <v>1</v>
      </c>
      <c r="G25" s="80">
        <f t="shared" si="2"/>
        <v>0</v>
      </c>
      <c r="H25" s="20">
        <f t="shared" si="3"/>
        <v>0</v>
      </c>
      <c r="I25" s="20">
        <f>VLOOKUP(E25,Cargas!$D$8:$G$23,4,TRUE)+H25</f>
        <v>0.46899999999999997</v>
      </c>
      <c r="J25" s="75">
        <f t="shared" si="0"/>
        <v>0.1</v>
      </c>
      <c r="K25" s="71">
        <f t="shared" si="4"/>
        <v>0.7228</v>
      </c>
      <c r="L25" s="71"/>
      <c r="M25" s="14"/>
      <c r="Q25" s="16"/>
      <c r="R25" s="6"/>
      <c r="S25" s="6"/>
    </row>
    <row r="26" spans="1:19" ht="13.5" x14ac:dyDescent="0.25">
      <c r="A26" s="69">
        <f>'Espesor Techo'!A26</f>
        <v>18</v>
      </c>
      <c r="B26" s="70">
        <f>'Espesor Techo'!B26</f>
        <v>1</v>
      </c>
      <c r="C26" s="70">
        <f>'Espesor Techo'!C26</f>
        <v>1</v>
      </c>
      <c r="D26" s="70">
        <f>'Espesor Techo'!J26</f>
        <v>0.12</v>
      </c>
      <c r="E26" s="70">
        <f>CEILING(IF(TYPE(VLOOKUP(A26,'Espesor Equivalente'!$A$117:$S$136,19,FALSE))=16,D26,VLOOKUP(A26,'Espesor Equivalente'!$A$117:$S$136,19,FALSE)),0.01)</f>
        <v>0.12</v>
      </c>
      <c r="F26" s="20">
        <f t="shared" si="1"/>
        <v>1</v>
      </c>
      <c r="G26" s="80">
        <f t="shared" si="2"/>
        <v>0</v>
      </c>
      <c r="H26" s="20">
        <f t="shared" si="3"/>
        <v>0</v>
      </c>
      <c r="I26" s="20">
        <f>VLOOKUP(E26,Cargas!$D$8:$G$23,4,TRUE)+H26</f>
        <v>0.46899999999999997</v>
      </c>
      <c r="J26" s="75">
        <f t="shared" si="0"/>
        <v>0.1</v>
      </c>
      <c r="K26" s="71">
        <f t="shared" si="4"/>
        <v>0.7228</v>
      </c>
      <c r="L26" s="71"/>
      <c r="M26" s="14"/>
      <c r="Q26" s="16"/>
      <c r="R26" s="6"/>
      <c r="S26" s="6"/>
    </row>
    <row r="27" spans="1:19" ht="13.5" x14ac:dyDescent="0.25">
      <c r="A27" s="69">
        <f>'Espesor Techo'!A27</f>
        <v>19</v>
      </c>
      <c r="B27" s="70">
        <f>'Espesor Techo'!B27</f>
        <v>1</v>
      </c>
      <c r="C27" s="70">
        <f>'Espesor Techo'!C27</f>
        <v>1</v>
      </c>
      <c r="D27" s="70">
        <f>'Espesor Techo'!J27</f>
        <v>0.12</v>
      </c>
      <c r="E27" s="70">
        <f>CEILING(IF(TYPE(VLOOKUP(A27,'Espesor Equivalente'!$A$117:$S$136,19,FALSE))=16,D27,VLOOKUP(A27,'Espesor Equivalente'!$A$117:$S$136,19,FALSE)),0.01)</f>
        <v>0.12</v>
      </c>
      <c r="F27" s="20">
        <f t="shared" si="1"/>
        <v>1</v>
      </c>
      <c r="G27" s="80">
        <f t="shared" si="2"/>
        <v>0</v>
      </c>
      <c r="H27" s="20">
        <f t="shared" si="3"/>
        <v>0</v>
      </c>
      <c r="I27" s="20">
        <f>VLOOKUP(E27,Cargas!$D$8:$G$23,4,TRUE)+H27</f>
        <v>0.46899999999999997</v>
      </c>
      <c r="J27" s="75">
        <f t="shared" si="0"/>
        <v>0.1</v>
      </c>
      <c r="K27" s="71">
        <f t="shared" si="4"/>
        <v>0.7228</v>
      </c>
      <c r="L27" s="71"/>
      <c r="M27" s="14"/>
      <c r="Q27" s="16"/>
      <c r="R27" s="6"/>
      <c r="S27" s="6"/>
    </row>
    <row r="28" spans="1:19" ht="13.5" x14ac:dyDescent="0.25">
      <c r="A28" s="69">
        <f>'Espesor Techo'!A28</f>
        <v>20</v>
      </c>
      <c r="B28" s="70">
        <f>'Espesor Techo'!B28</f>
        <v>1</v>
      </c>
      <c r="C28" s="70">
        <f>'Espesor Techo'!C28</f>
        <v>1</v>
      </c>
      <c r="D28" s="70">
        <f>'Espesor Techo'!J28</f>
        <v>0.12</v>
      </c>
      <c r="E28" s="70">
        <f>CEILING(IF(TYPE(VLOOKUP(A28,'Espesor Equivalente'!$A$117:$S$136,19,FALSE))=16,D28,VLOOKUP(A28,'Espesor Equivalente'!$A$117:$S$136,19,FALSE)),0.01)</f>
        <v>0.12</v>
      </c>
      <c r="F28" s="20">
        <f t="shared" si="1"/>
        <v>1</v>
      </c>
      <c r="G28" s="80">
        <f t="shared" si="2"/>
        <v>0</v>
      </c>
      <c r="H28" s="20">
        <f t="shared" si="3"/>
        <v>0</v>
      </c>
      <c r="I28" s="20">
        <f>VLOOKUP(E28,Cargas!$D$8:$G$23,4,TRUE)+H28</f>
        <v>0.46899999999999997</v>
      </c>
      <c r="J28" s="75">
        <f t="shared" si="0"/>
        <v>0.1</v>
      </c>
      <c r="K28" s="71">
        <f t="shared" si="4"/>
        <v>0.7228</v>
      </c>
      <c r="L28" s="71"/>
      <c r="M28" s="14"/>
      <c r="Q28" s="16"/>
      <c r="R28" s="6"/>
      <c r="S28" s="6"/>
    </row>
    <row r="29" spans="1:19" ht="13.5" x14ac:dyDescent="0.25">
      <c r="A29" s="69">
        <f>'Espesor Techo'!A29</f>
        <v>21</v>
      </c>
      <c r="B29" s="70">
        <f>'Espesor Techo'!B29</f>
        <v>1</v>
      </c>
      <c r="C29" s="70">
        <f>'Espesor Techo'!C29</f>
        <v>1</v>
      </c>
      <c r="D29" s="70">
        <f>'Espesor Techo'!J29</f>
        <v>0.12</v>
      </c>
      <c r="E29" s="70">
        <f>CEILING(IF(TYPE(VLOOKUP(A29,'Espesor Equivalente'!$A$117:$S$136,19,FALSE))=16,D29,VLOOKUP(A29,'Espesor Equivalente'!$A$117:$S$136,19,FALSE)),0.01)</f>
        <v>0.12</v>
      </c>
      <c r="F29" s="20">
        <f t="shared" si="1"/>
        <v>1</v>
      </c>
      <c r="G29" s="80">
        <f t="shared" si="2"/>
        <v>0</v>
      </c>
      <c r="H29" s="20">
        <f t="shared" si="3"/>
        <v>0</v>
      </c>
      <c r="I29" s="20">
        <f>VLOOKUP(E29,Cargas!$D$8:$G$23,4,TRUE)+H29</f>
        <v>0.46899999999999997</v>
      </c>
      <c r="J29" s="75">
        <f t="shared" si="0"/>
        <v>0.1</v>
      </c>
      <c r="K29" s="71">
        <f t="shared" si="4"/>
        <v>0.7228</v>
      </c>
      <c r="L29" s="71"/>
      <c r="M29" s="14"/>
      <c r="Q29" s="16"/>
      <c r="R29" s="6"/>
      <c r="S29" s="6"/>
    </row>
    <row r="30" spans="1:19" ht="13.5" x14ac:dyDescent="0.25">
      <c r="A30" s="69">
        <f>'Espesor Techo'!A30</f>
        <v>22</v>
      </c>
      <c r="B30" s="70">
        <f>'Espesor Techo'!B30</f>
        <v>1</v>
      </c>
      <c r="C30" s="70">
        <f>'Espesor Techo'!C30</f>
        <v>1</v>
      </c>
      <c r="D30" s="70">
        <f>'Espesor Techo'!J30</f>
        <v>0.12</v>
      </c>
      <c r="E30" s="70">
        <f>CEILING(IF(TYPE(VLOOKUP(A30,'Espesor Equivalente'!$A$117:$S$136,19,FALSE))=16,D30,VLOOKUP(A30,'Espesor Equivalente'!$A$117:$S$136,19,FALSE)),0.01)</f>
        <v>0.12</v>
      </c>
      <c r="F30" s="20">
        <f t="shared" si="1"/>
        <v>1</v>
      </c>
      <c r="G30" s="80">
        <f t="shared" si="2"/>
        <v>0</v>
      </c>
      <c r="H30" s="20">
        <f t="shared" si="3"/>
        <v>0</v>
      </c>
      <c r="I30" s="20">
        <f>VLOOKUP(E30,Cargas!$D$8:$G$23,4,TRUE)+H30</f>
        <v>0.46899999999999997</v>
      </c>
      <c r="J30" s="75">
        <f t="shared" si="0"/>
        <v>0.1</v>
      </c>
      <c r="K30" s="71">
        <f t="shared" si="4"/>
        <v>0.7228</v>
      </c>
      <c r="L30" s="71"/>
      <c r="M30" s="14"/>
      <c r="Q30" s="16"/>
      <c r="R30" s="6"/>
      <c r="S30" s="6"/>
    </row>
    <row r="31" spans="1:19" ht="13.5" x14ac:dyDescent="0.25">
      <c r="A31" s="69">
        <f>'Espesor Techo'!A31</f>
        <v>23</v>
      </c>
      <c r="B31" s="70">
        <f>'Espesor Techo'!B31</f>
        <v>1</v>
      </c>
      <c r="C31" s="70">
        <f>'Espesor Techo'!C31</f>
        <v>1</v>
      </c>
      <c r="D31" s="70">
        <f>'Espesor Techo'!J31</f>
        <v>0.12</v>
      </c>
      <c r="E31" s="70">
        <f>CEILING(IF(TYPE(VLOOKUP(A31,'Espesor Equivalente'!$A$117:$S$136,19,FALSE))=16,D31,VLOOKUP(A31,'Espesor Equivalente'!$A$117:$S$136,19,FALSE)),0.01)</f>
        <v>0.12</v>
      </c>
      <c r="F31" s="20">
        <f t="shared" si="1"/>
        <v>1</v>
      </c>
      <c r="G31" s="80">
        <f t="shared" si="2"/>
        <v>0</v>
      </c>
      <c r="H31" s="20">
        <f t="shared" si="3"/>
        <v>0</v>
      </c>
      <c r="I31" s="20">
        <f>VLOOKUP(E31,Cargas!$D$8:$G$23,4,TRUE)+H31</f>
        <v>0.46899999999999997</v>
      </c>
      <c r="J31" s="75">
        <f t="shared" si="0"/>
        <v>0.1</v>
      </c>
      <c r="K31" s="71">
        <f t="shared" si="4"/>
        <v>0.7228</v>
      </c>
      <c r="L31" s="71"/>
      <c r="M31" s="14"/>
      <c r="Q31" s="16"/>
      <c r="R31" s="6"/>
      <c r="S31" s="6"/>
    </row>
    <row r="32" spans="1:19" ht="13.5" x14ac:dyDescent="0.25">
      <c r="A32" s="69">
        <f>'Espesor Techo'!A32</f>
        <v>24</v>
      </c>
      <c r="B32" s="70">
        <f>'Espesor Techo'!B32</f>
        <v>1</v>
      </c>
      <c r="C32" s="70">
        <f>'Espesor Techo'!C32</f>
        <v>1</v>
      </c>
      <c r="D32" s="70">
        <f>'Espesor Techo'!J32</f>
        <v>0.12</v>
      </c>
      <c r="E32" s="70">
        <f>CEILING(IF(TYPE(VLOOKUP(A32,'Espesor Equivalente'!$A$117:$S$136,19,FALSE))=16,D32,VLOOKUP(A32,'Espesor Equivalente'!$A$117:$S$136,19,FALSE)),0.01)</f>
        <v>0.12</v>
      </c>
      <c r="F32" s="20">
        <f t="shared" si="1"/>
        <v>1</v>
      </c>
      <c r="G32" s="80">
        <f t="shared" si="2"/>
        <v>0</v>
      </c>
      <c r="H32" s="20">
        <f t="shared" si="3"/>
        <v>0</v>
      </c>
      <c r="I32" s="20">
        <f>VLOOKUP(E32,Cargas!$D$8:$G$23,4,TRUE)+H32</f>
        <v>0.46899999999999997</v>
      </c>
      <c r="J32" s="75">
        <f t="shared" si="0"/>
        <v>0.1</v>
      </c>
      <c r="K32" s="71">
        <f t="shared" si="4"/>
        <v>0.7228</v>
      </c>
      <c r="L32" s="71"/>
      <c r="M32" s="14"/>
      <c r="Q32" s="16"/>
      <c r="R32" s="6"/>
      <c r="S32" s="6"/>
    </row>
    <row r="33" spans="1:19" ht="13.5" x14ac:dyDescent="0.25">
      <c r="A33" s="69">
        <f>'Espesor Techo'!A33</f>
        <v>25</v>
      </c>
      <c r="B33" s="70">
        <f>'Espesor Techo'!B33</f>
        <v>1</v>
      </c>
      <c r="C33" s="70">
        <f>'Espesor Techo'!C33</f>
        <v>1</v>
      </c>
      <c r="D33" s="70">
        <f>'Espesor Techo'!J33</f>
        <v>0.12</v>
      </c>
      <c r="E33" s="70">
        <f>CEILING(IF(TYPE(VLOOKUP(A33,'Espesor Equivalente'!$A$117:$S$136,19,FALSE))=16,D33,VLOOKUP(A33,'Espesor Equivalente'!$A$117:$S$136,19,FALSE)),0.01)</f>
        <v>0.12</v>
      </c>
      <c r="F33" s="20">
        <f t="shared" si="1"/>
        <v>1</v>
      </c>
      <c r="G33" s="80">
        <f t="shared" si="2"/>
        <v>0</v>
      </c>
      <c r="H33" s="20">
        <f t="shared" si="3"/>
        <v>0</v>
      </c>
      <c r="I33" s="20">
        <f>VLOOKUP(E33,Cargas!$D$8:$G$23,4,TRUE)+H33</f>
        <v>0.46899999999999997</v>
      </c>
      <c r="J33" s="75">
        <f t="shared" si="0"/>
        <v>0.1</v>
      </c>
      <c r="K33" s="71">
        <f t="shared" si="4"/>
        <v>0.7228</v>
      </c>
      <c r="L33" s="71"/>
      <c r="M33" s="14"/>
      <c r="Q33" s="16"/>
      <c r="R33" s="6"/>
      <c r="S33" s="6"/>
    </row>
    <row r="34" spans="1:19" ht="13.5" x14ac:dyDescent="0.25">
      <c r="A34" s="69">
        <f>'Espesor Techo'!A34</f>
        <v>26</v>
      </c>
      <c r="B34" s="70">
        <f>'Espesor Techo'!B34</f>
        <v>1</v>
      </c>
      <c r="C34" s="70">
        <f>'Espesor Techo'!C34</f>
        <v>1</v>
      </c>
      <c r="D34" s="70">
        <f>'Espesor Techo'!J34</f>
        <v>0.12</v>
      </c>
      <c r="E34" s="70">
        <f>CEILING(IF(TYPE(VLOOKUP(A34,'Espesor Equivalente'!$A$117:$S$136,19,FALSE))=16,D34,VLOOKUP(A34,'Espesor Equivalente'!$A$117:$S$136,19,FALSE)),0.01)</f>
        <v>0.12</v>
      </c>
      <c r="F34" s="20">
        <f t="shared" si="1"/>
        <v>1</v>
      </c>
      <c r="G34" s="80">
        <f t="shared" si="2"/>
        <v>0</v>
      </c>
      <c r="H34" s="20">
        <f t="shared" si="3"/>
        <v>0</v>
      </c>
      <c r="I34" s="20">
        <f>VLOOKUP(E34,Cargas!$D$8:$G$23,4,TRUE)+H34</f>
        <v>0.46899999999999997</v>
      </c>
      <c r="J34" s="75">
        <f t="shared" si="0"/>
        <v>0.1</v>
      </c>
      <c r="K34" s="71">
        <f t="shared" si="4"/>
        <v>0.7228</v>
      </c>
      <c r="L34" s="71"/>
      <c r="M34" s="14"/>
      <c r="Q34" s="16"/>
      <c r="R34" s="6"/>
      <c r="S34" s="6"/>
    </row>
    <row r="35" spans="1:19" ht="13.5" x14ac:dyDescent="0.25">
      <c r="A35" s="69">
        <f>'Espesor Techo'!A35</f>
        <v>27</v>
      </c>
      <c r="B35" s="70">
        <f>'Espesor Techo'!B35</f>
        <v>1</v>
      </c>
      <c r="C35" s="70">
        <f>'Espesor Techo'!C35</f>
        <v>1</v>
      </c>
      <c r="D35" s="70">
        <f>'Espesor Techo'!J35</f>
        <v>0.12</v>
      </c>
      <c r="E35" s="70">
        <f>CEILING(IF(TYPE(VLOOKUP(A35,'Espesor Equivalente'!$A$117:$S$136,19,FALSE))=16,D35,VLOOKUP(A35,'Espesor Equivalente'!$A$117:$S$136,19,FALSE)),0.01)</f>
        <v>0.12</v>
      </c>
      <c r="F35" s="20">
        <f t="shared" si="1"/>
        <v>1</v>
      </c>
      <c r="G35" s="80">
        <f t="shared" si="2"/>
        <v>0</v>
      </c>
      <c r="H35" s="20">
        <f t="shared" si="3"/>
        <v>0</v>
      </c>
      <c r="I35" s="20">
        <f>VLOOKUP(E35,Cargas!$D$8:$G$23,4,TRUE)+H35</f>
        <v>0.46899999999999997</v>
      </c>
      <c r="J35" s="75">
        <f t="shared" si="0"/>
        <v>0.1</v>
      </c>
      <c r="K35" s="71">
        <f t="shared" si="4"/>
        <v>0.7228</v>
      </c>
      <c r="L35" s="71"/>
      <c r="M35" s="14"/>
      <c r="Q35" s="16"/>
      <c r="R35" s="6"/>
      <c r="S35" s="6"/>
    </row>
    <row r="36" spans="1:19" ht="13.5" x14ac:dyDescent="0.25">
      <c r="A36" s="69">
        <f>'Espesor Techo'!A36</f>
        <v>28</v>
      </c>
      <c r="B36" s="70">
        <f>'Espesor Techo'!B36</f>
        <v>1</v>
      </c>
      <c r="C36" s="70">
        <f>'Espesor Techo'!C36</f>
        <v>1</v>
      </c>
      <c r="D36" s="70">
        <f>'Espesor Techo'!J36</f>
        <v>0.12</v>
      </c>
      <c r="E36" s="70">
        <f>CEILING(IF(TYPE(VLOOKUP(A36,'Espesor Equivalente'!$A$117:$S$136,19,FALSE))=16,D36,VLOOKUP(A36,'Espesor Equivalente'!$A$117:$S$136,19,FALSE)),0.01)</f>
        <v>0.12</v>
      </c>
      <c r="F36" s="20">
        <f t="shared" si="1"/>
        <v>1</v>
      </c>
      <c r="G36" s="80">
        <f t="shared" si="2"/>
        <v>0</v>
      </c>
      <c r="H36" s="20">
        <f t="shared" si="3"/>
        <v>0</v>
      </c>
      <c r="I36" s="20">
        <f>VLOOKUP(E36,Cargas!$D$8:$G$23,4,TRUE)+H36</f>
        <v>0.46899999999999997</v>
      </c>
      <c r="J36" s="75">
        <f t="shared" si="0"/>
        <v>0.1</v>
      </c>
      <c r="K36" s="71">
        <f t="shared" si="4"/>
        <v>0.7228</v>
      </c>
      <c r="L36" s="71"/>
      <c r="M36" s="14"/>
      <c r="Q36" s="16"/>
      <c r="R36" s="6"/>
      <c r="S36" s="6"/>
    </row>
    <row r="37" spans="1:19" ht="13.5" x14ac:dyDescent="0.25">
      <c r="A37" s="69">
        <f>'Espesor Techo'!A37</f>
        <v>29</v>
      </c>
      <c r="B37" s="70">
        <f>'Espesor Techo'!B37</f>
        <v>1</v>
      </c>
      <c r="C37" s="70">
        <f>'Espesor Techo'!C37</f>
        <v>1</v>
      </c>
      <c r="D37" s="70">
        <f>'Espesor Techo'!J37</f>
        <v>0.12</v>
      </c>
      <c r="E37" s="70">
        <f>CEILING(IF(TYPE(VLOOKUP(A37,'Espesor Equivalente'!$A$117:$S$136,19,FALSE))=16,D37,VLOOKUP(A37,'Espesor Equivalente'!$A$117:$S$136,19,FALSE)),0.01)</f>
        <v>0.12</v>
      </c>
      <c r="F37" s="20">
        <f t="shared" si="1"/>
        <v>1</v>
      </c>
      <c r="G37" s="80">
        <f t="shared" si="2"/>
        <v>0</v>
      </c>
      <c r="H37" s="20">
        <f t="shared" si="3"/>
        <v>0</v>
      </c>
      <c r="I37" s="20">
        <f>VLOOKUP(E37,Cargas!$D$8:$G$23,4,TRUE)+H37</f>
        <v>0.46899999999999997</v>
      </c>
      <c r="J37" s="75">
        <f t="shared" si="0"/>
        <v>0.1</v>
      </c>
      <c r="K37" s="71">
        <f t="shared" si="4"/>
        <v>0.7228</v>
      </c>
      <c r="L37" s="71"/>
      <c r="M37" s="14"/>
      <c r="O37" s="6"/>
      <c r="P37" s="6"/>
      <c r="Q37" s="6"/>
      <c r="R37" s="6"/>
      <c r="S37" s="6"/>
    </row>
    <row r="38" spans="1:19" ht="13.5" x14ac:dyDescent="0.25">
      <c r="A38" s="69">
        <f>'Espesor Techo'!A38</f>
        <v>30</v>
      </c>
      <c r="B38" s="70">
        <f>'Espesor Techo'!B38</f>
        <v>1</v>
      </c>
      <c r="C38" s="70">
        <f>'Espesor Techo'!C38</f>
        <v>1</v>
      </c>
      <c r="D38" s="70">
        <f>'Espesor Techo'!J38</f>
        <v>0.12</v>
      </c>
      <c r="E38" s="70">
        <f>CEILING(IF(TYPE(VLOOKUP(A38,'Espesor Equivalente'!$A$117:$S$136,19,FALSE))=16,D38,VLOOKUP(A38,'Espesor Equivalente'!$A$117:$S$136,19,FALSE)),0.01)</f>
        <v>0.12</v>
      </c>
      <c r="F38" s="20">
        <f t="shared" si="1"/>
        <v>1</v>
      </c>
      <c r="G38" s="80">
        <f t="shared" si="2"/>
        <v>0</v>
      </c>
      <c r="H38" s="20">
        <f t="shared" si="3"/>
        <v>0</v>
      </c>
      <c r="I38" s="20">
        <f>VLOOKUP(E38,Cargas!$D$8:$G$23,4,TRUE)+H38</f>
        <v>0.46899999999999997</v>
      </c>
      <c r="J38" s="75">
        <f t="shared" si="0"/>
        <v>0.1</v>
      </c>
      <c r="K38" s="71">
        <f t="shared" si="4"/>
        <v>0.7228</v>
      </c>
      <c r="L38" s="71"/>
      <c r="M38" s="14"/>
      <c r="O38" s="6"/>
      <c r="P38" s="16"/>
      <c r="Q38" s="16"/>
      <c r="R38" s="2"/>
    </row>
    <row r="39" spans="1:19" ht="13.5" x14ac:dyDescent="0.25">
      <c r="A39" s="69">
        <f>'Espesor Techo'!A39</f>
        <v>31</v>
      </c>
      <c r="B39" s="70">
        <f>'Espesor Techo'!B39</f>
        <v>1</v>
      </c>
      <c r="C39" s="70">
        <f>'Espesor Techo'!C39</f>
        <v>1</v>
      </c>
      <c r="D39" s="70">
        <f>'Espesor Techo'!J39</f>
        <v>0.12</v>
      </c>
      <c r="E39" s="70">
        <f>CEILING(IF(TYPE(VLOOKUP(A39,'Espesor Equivalente'!$A$117:$S$136,19,FALSE))=16,D39,VLOOKUP(A39,'Espesor Equivalente'!$A$117:$S$136,19,FALSE)),0.01)</f>
        <v>0.12</v>
      </c>
      <c r="F39" s="20">
        <f t="shared" si="1"/>
        <v>1</v>
      </c>
      <c r="G39" s="80">
        <f t="shared" si="2"/>
        <v>0</v>
      </c>
      <c r="H39" s="20">
        <f t="shared" si="3"/>
        <v>0</v>
      </c>
      <c r="I39" s="20">
        <f>VLOOKUP(E39,Cargas!$D$8:$G$23,4,TRUE)+H39</f>
        <v>0.46899999999999997</v>
      </c>
      <c r="J39" s="75">
        <f t="shared" si="0"/>
        <v>0.1</v>
      </c>
      <c r="K39" s="71">
        <f t="shared" si="4"/>
        <v>0.7228</v>
      </c>
      <c r="L39" s="71"/>
      <c r="M39" s="14"/>
      <c r="O39" s="17"/>
      <c r="P39" s="16"/>
      <c r="Q39" s="16"/>
      <c r="R39" s="2"/>
    </row>
    <row r="40" spans="1:19" ht="13.5" x14ac:dyDescent="0.25">
      <c r="A40" s="69">
        <f>'Espesor Techo'!A40</f>
        <v>32</v>
      </c>
      <c r="B40" s="70">
        <f>'Espesor Techo'!B40</f>
        <v>1</v>
      </c>
      <c r="C40" s="70">
        <f>'Espesor Techo'!C40</f>
        <v>1</v>
      </c>
      <c r="D40" s="70">
        <f>'Espesor Techo'!J40</f>
        <v>0.12</v>
      </c>
      <c r="E40" s="70">
        <f>CEILING(IF(TYPE(VLOOKUP(A40,'Espesor Equivalente'!$A$117:$S$136,19,FALSE))=16,D40,VLOOKUP(A40,'Espesor Equivalente'!$A$117:$S$136,19,FALSE)),0.01)</f>
        <v>0.12</v>
      </c>
      <c r="F40" s="20">
        <f t="shared" si="1"/>
        <v>1</v>
      </c>
      <c r="G40" s="80">
        <f t="shared" si="2"/>
        <v>0</v>
      </c>
      <c r="H40" s="20">
        <f t="shared" si="3"/>
        <v>0</v>
      </c>
      <c r="I40" s="20">
        <f>VLOOKUP(E40,Cargas!$D$8:$G$23,4,TRUE)+H40</f>
        <v>0.46899999999999997</v>
      </c>
      <c r="J40" s="75">
        <f t="shared" si="0"/>
        <v>0.1</v>
      </c>
      <c r="K40" s="71">
        <f t="shared" si="4"/>
        <v>0.7228</v>
      </c>
      <c r="L40" s="71"/>
      <c r="M40" s="14"/>
      <c r="O40" s="6"/>
      <c r="P40" s="16"/>
      <c r="Q40" s="16"/>
      <c r="R40" s="2"/>
    </row>
    <row r="41" spans="1:19" ht="13.5" x14ac:dyDescent="0.25">
      <c r="A41" s="69">
        <f>'Espesor Techo'!A41</f>
        <v>33</v>
      </c>
      <c r="B41" s="70">
        <f>'Espesor Techo'!B41</f>
        <v>1</v>
      </c>
      <c r="C41" s="70">
        <f>'Espesor Techo'!C41</f>
        <v>1</v>
      </c>
      <c r="D41" s="70">
        <f>'Espesor Techo'!J41</f>
        <v>0.12</v>
      </c>
      <c r="E41" s="70">
        <f>CEILING(IF(TYPE(VLOOKUP(A41,'Espesor Equivalente'!$A$117:$S$136,19,FALSE))=16,D41,VLOOKUP(A41,'Espesor Equivalente'!$A$117:$S$136,19,FALSE)),0.01)</f>
        <v>0.12</v>
      </c>
      <c r="F41" s="20">
        <f t="shared" si="1"/>
        <v>1</v>
      </c>
      <c r="G41" s="80">
        <f t="shared" si="2"/>
        <v>0</v>
      </c>
      <c r="H41" s="20">
        <f t="shared" si="3"/>
        <v>0</v>
      </c>
      <c r="I41" s="20">
        <f>VLOOKUP(E41,Cargas!$D$8:$G$23,4,TRUE)+H41</f>
        <v>0.46899999999999997</v>
      </c>
      <c r="J41" s="75">
        <f t="shared" si="0"/>
        <v>0.1</v>
      </c>
      <c r="K41" s="71">
        <f t="shared" si="4"/>
        <v>0.7228</v>
      </c>
      <c r="L41" s="71"/>
      <c r="M41" s="14"/>
      <c r="O41" s="17"/>
      <c r="P41" s="16"/>
      <c r="Q41" s="16"/>
      <c r="R41" s="2"/>
    </row>
    <row r="42" spans="1:19" ht="13.5" x14ac:dyDescent="0.25">
      <c r="A42" s="69">
        <f>'Espesor Techo'!A42</f>
        <v>34</v>
      </c>
      <c r="B42" s="70">
        <f>'Espesor Techo'!B42</f>
        <v>1</v>
      </c>
      <c r="C42" s="70">
        <f>'Espesor Techo'!C42</f>
        <v>1</v>
      </c>
      <c r="D42" s="70">
        <f>'Espesor Techo'!J42</f>
        <v>0.12</v>
      </c>
      <c r="E42" s="70">
        <f>CEILING(IF(TYPE(VLOOKUP(A42,'Espesor Equivalente'!$A$117:$S$136,19,FALSE))=16,D42,VLOOKUP(A42,'Espesor Equivalente'!$A$117:$S$136,19,FALSE)),0.01)</f>
        <v>0.12</v>
      </c>
      <c r="F42" s="20">
        <f t="shared" si="1"/>
        <v>1</v>
      </c>
      <c r="G42" s="80">
        <f t="shared" si="2"/>
        <v>0</v>
      </c>
      <c r="H42" s="20">
        <f t="shared" si="3"/>
        <v>0</v>
      </c>
      <c r="I42" s="20">
        <f>VLOOKUP(E42,Cargas!$D$8:$G$23,4,TRUE)+H42</f>
        <v>0.46899999999999997</v>
      </c>
      <c r="J42" s="75">
        <f t="shared" si="0"/>
        <v>0.1</v>
      </c>
      <c r="K42" s="71">
        <f t="shared" si="4"/>
        <v>0.7228</v>
      </c>
      <c r="L42" s="71"/>
      <c r="M42" s="14"/>
      <c r="O42" s="17"/>
      <c r="P42" s="16"/>
      <c r="Q42" s="16"/>
      <c r="R42" s="2"/>
    </row>
    <row r="43" spans="1:19" ht="13.5" x14ac:dyDescent="0.25">
      <c r="A43" s="69">
        <f>'Espesor Techo'!A43</f>
        <v>35</v>
      </c>
      <c r="B43" s="70">
        <f>'Espesor Techo'!B43</f>
        <v>1</v>
      </c>
      <c r="C43" s="70">
        <f>'Espesor Techo'!C43</f>
        <v>1</v>
      </c>
      <c r="D43" s="70">
        <f>'Espesor Techo'!J43</f>
        <v>0.12</v>
      </c>
      <c r="E43" s="70">
        <f>CEILING(IF(TYPE(VLOOKUP(A43,'Espesor Equivalente'!$A$117:$S$136,19,FALSE))=16,D43,VLOOKUP(A43,'Espesor Equivalente'!$A$117:$S$136,19,FALSE)),0.01)</f>
        <v>0.12</v>
      </c>
      <c r="F43" s="20">
        <f t="shared" si="1"/>
        <v>1</v>
      </c>
      <c r="G43" s="80">
        <f t="shared" si="2"/>
        <v>0</v>
      </c>
      <c r="H43" s="20">
        <f t="shared" si="3"/>
        <v>0</v>
      </c>
      <c r="I43" s="20">
        <f>VLOOKUP(E43,Cargas!$D$8:$G$23,4,TRUE)+H43</f>
        <v>0.46899999999999997</v>
      </c>
      <c r="J43" s="75">
        <f t="shared" si="0"/>
        <v>0.1</v>
      </c>
      <c r="K43" s="71">
        <f t="shared" si="4"/>
        <v>0.7228</v>
      </c>
      <c r="L43" s="71"/>
      <c r="M43" s="14"/>
      <c r="O43" s="6"/>
      <c r="P43" s="16"/>
      <c r="Q43" s="16"/>
      <c r="R43" s="2"/>
    </row>
    <row r="44" spans="1:19" ht="13.5" x14ac:dyDescent="0.25">
      <c r="A44" s="69">
        <f>'Espesor Techo'!A44</f>
        <v>36</v>
      </c>
      <c r="B44" s="70">
        <f>'Espesor Techo'!B44</f>
        <v>1</v>
      </c>
      <c r="C44" s="70">
        <f>'Espesor Techo'!C44</f>
        <v>1</v>
      </c>
      <c r="D44" s="70">
        <f>'Espesor Techo'!J44</f>
        <v>0.12</v>
      </c>
      <c r="E44" s="70">
        <f>CEILING(IF(TYPE(VLOOKUP(A44,'Espesor Equivalente'!$A$117:$S$136,19,FALSE))=16,D44,VLOOKUP(A44,'Espesor Equivalente'!$A$117:$S$136,19,FALSE)),0.01)</f>
        <v>0.12</v>
      </c>
      <c r="F44" s="20">
        <f t="shared" si="1"/>
        <v>1</v>
      </c>
      <c r="G44" s="80">
        <f t="shared" si="2"/>
        <v>0</v>
      </c>
      <c r="H44" s="20">
        <f t="shared" si="3"/>
        <v>0</v>
      </c>
      <c r="I44" s="20">
        <f>VLOOKUP(E44,Cargas!$D$8:$G$23,4,TRUE)+H44</f>
        <v>0.46899999999999997</v>
      </c>
      <c r="J44" s="75">
        <f t="shared" si="0"/>
        <v>0.1</v>
      </c>
      <c r="K44" s="71">
        <f t="shared" si="4"/>
        <v>0.7228</v>
      </c>
      <c r="L44" s="71"/>
      <c r="M44" s="14"/>
      <c r="O44" s="17"/>
      <c r="P44" s="16"/>
      <c r="Q44" s="16"/>
      <c r="R44" s="2"/>
    </row>
    <row r="45" spans="1:19" ht="13.5" x14ac:dyDescent="0.25">
      <c r="A45" s="69">
        <f>'Espesor Techo'!A45</f>
        <v>37</v>
      </c>
      <c r="B45" s="70">
        <f>'Espesor Techo'!B45</f>
        <v>1</v>
      </c>
      <c r="C45" s="70">
        <f>'Espesor Techo'!C45</f>
        <v>1</v>
      </c>
      <c r="D45" s="70">
        <f>'Espesor Techo'!J45</f>
        <v>0.12</v>
      </c>
      <c r="E45" s="70">
        <f>CEILING(IF(TYPE(VLOOKUP(A45,'Espesor Equivalente'!$A$117:$S$136,19,FALSE))=16,D45,VLOOKUP(A45,'Espesor Equivalente'!$A$117:$S$136,19,FALSE)),0.01)</f>
        <v>0.12</v>
      </c>
      <c r="F45" s="20">
        <f t="shared" si="1"/>
        <v>1</v>
      </c>
      <c r="G45" s="80">
        <f t="shared" si="2"/>
        <v>0</v>
      </c>
      <c r="H45" s="20">
        <f t="shared" si="3"/>
        <v>0</v>
      </c>
      <c r="I45" s="20">
        <f>VLOOKUP(E45,Cargas!$D$8:$G$23,4,TRUE)+H45</f>
        <v>0.46899999999999997</v>
      </c>
      <c r="J45" s="75">
        <f t="shared" si="0"/>
        <v>0.1</v>
      </c>
      <c r="K45" s="71">
        <f t="shared" si="4"/>
        <v>0.7228</v>
      </c>
      <c r="L45" s="71"/>
      <c r="M45" s="14"/>
      <c r="O45" s="17"/>
      <c r="P45" s="16"/>
      <c r="Q45" s="16"/>
      <c r="R45" s="2"/>
    </row>
    <row r="46" spans="1:19" ht="13.5" x14ac:dyDescent="0.25">
      <c r="A46" s="69">
        <f>'Espesor Techo'!A46</f>
        <v>38</v>
      </c>
      <c r="B46" s="70">
        <f>'Espesor Techo'!B46</f>
        <v>1</v>
      </c>
      <c r="C46" s="70">
        <f>'Espesor Techo'!C46</f>
        <v>1</v>
      </c>
      <c r="D46" s="70">
        <f>'Espesor Techo'!J46</f>
        <v>0.12</v>
      </c>
      <c r="E46" s="70">
        <f>CEILING(IF(TYPE(VLOOKUP(A46,'Espesor Equivalente'!$A$117:$S$136,19,FALSE))=16,D46,VLOOKUP(A46,'Espesor Equivalente'!$A$117:$S$136,19,FALSE)),0.01)</f>
        <v>0.12</v>
      </c>
      <c r="F46" s="20">
        <f t="shared" si="1"/>
        <v>1</v>
      </c>
      <c r="G46" s="80">
        <f t="shared" si="2"/>
        <v>0</v>
      </c>
      <c r="H46" s="20">
        <f t="shared" si="3"/>
        <v>0</v>
      </c>
      <c r="I46" s="20">
        <f>VLOOKUP(E46,Cargas!$D$8:$G$23,4,TRUE)+H46</f>
        <v>0.46899999999999997</v>
      </c>
      <c r="J46" s="75">
        <f t="shared" si="0"/>
        <v>0.1</v>
      </c>
      <c r="K46" s="71">
        <f t="shared" si="4"/>
        <v>0.7228</v>
      </c>
      <c r="L46" s="71"/>
      <c r="M46" s="14"/>
      <c r="O46" s="6"/>
      <c r="P46" s="16"/>
      <c r="Q46" s="16"/>
      <c r="R46" s="2"/>
    </row>
    <row r="47" spans="1:19" ht="13.5" x14ac:dyDescent="0.25">
      <c r="A47" s="69">
        <f>'Espesor Techo'!A47</f>
        <v>39</v>
      </c>
      <c r="B47" s="70">
        <f>'Espesor Techo'!B47</f>
        <v>1</v>
      </c>
      <c r="C47" s="70">
        <f>'Espesor Techo'!C47</f>
        <v>1</v>
      </c>
      <c r="D47" s="70">
        <f>'Espesor Techo'!J47</f>
        <v>0.12</v>
      </c>
      <c r="E47" s="70">
        <f>CEILING(IF(TYPE(VLOOKUP(A47,'Espesor Equivalente'!$A$117:$S$136,19,FALSE))=16,D47,VLOOKUP(A47,'Espesor Equivalente'!$A$117:$S$136,19,FALSE)),0.01)</f>
        <v>0.12</v>
      </c>
      <c r="F47" s="20">
        <f t="shared" si="1"/>
        <v>1</v>
      </c>
      <c r="G47" s="80">
        <f t="shared" si="2"/>
        <v>0</v>
      </c>
      <c r="H47" s="20">
        <f t="shared" si="3"/>
        <v>0</v>
      </c>
      <c r="I47" s="20">
        <f>VLOOKUP(E47,Cargas!$D$8:$G$23,4,TRUE)+H47</f>
        <v>0.46899999999999997</v>
      </c>
      <c r="J47" s="75">
        <f t="shared" si="0"/>
        <v>0.1</v>
      </c>
      <c r="K47" s="71">
        <f t="shared" si="4"/>
        <v>0.7228</v>
      </c>
      <c r="L47" s="71"/>
      <c r="M47" s="14"/>
      <c r="O47" s="17"/>
      <c r="P47" s="16"/>
      <c r="Q47" s="16"/>
      <c r="R47" s="2"/>
    </row>
    <row r="48" spans="1:19" ht="13.5" x14ac:dyDescent="0.25">
      <c r="A48" s="69">
        <f>'Espesor Techo'!A48</f>
        <v>40</v>
      </c>
      <c r="B48" s="70">
        <f>'Espesor Techo'!B48</f>
        <v>1</v>
      </c>
      <c r="C48" s="70">
        <f>'Espesor Techo'!C48</f>
        <v>1</v>
      </c>
      <c r="D48" s="70">
        <f>'Espesor Techo'!J48</f>
        <v>0.12</v>
      </c>
      <c r="E48" s="70">
        <f>CEILING(IF(TYPE(VLOOKUP(A48,'Espesor Equivalente'!$A$117:$S$136,19,FALSE))=16,D48,VLOOKUP(A48,'Espesor Equivalente'!$A$117:$S$136,19,FALSE)),0.01)</f>
        <v>0.12</v>
      </c>
      <c r="F48" s="20">
        <f t="shared" si="1"/>
        <v>1</v>
      </c>
      <c r="G48" s="80">
        <f t="shared" si="2"/>
        <v>0</v>
      </c>
      <c r="H48" s="20">
        <f t="shared" si="3"/>
        <v>0</v>
      </c>
      <c r="I48" s="20">
        <f>VLOOKUP(E48,Cargas!$D$8:$G$23,4,TRUE)+H48</f>
        <v>0.46899999999999997</v>
      </c>
      <c r="J48" s="75">
        <f t="shared" si="0"/>
        <v>0.1</v>
      </c>
      <c r="K48" s="71">
        <f t="shared" si="4"/>
        <v>0.7228</v>
      </c>
      <c r="L48" s="71"/>
      <c r="M48" s="14"/>
      <c r="O48" s="6"/>
      <c r="P48" s="16"/>
      <c r="Q48" s="16"/>
      <c r="R48" s="2"/>
    </row>
    <row r="49" spans="1:18" ht="13.5" x14ac:dyDescent="0.25">
      <c r="A49" s="69">
        <f>'Espesor Techo'!A49</f>
        <v>41</v>
      </c>
      <c r="B49" s="70">
        <f>'Espesor Techo'!B49</f>
        <v>1</v>
      </c>
      <c r="C49" s="70">
        <f>'Espesor Techo'!C49</f>
        <v>1</v>
      </c>
      <c r="D49" s="70">
        <f>'Espesor Techo'!J49</f>
        <v>0.12</v>
      </c>
      <c r="E49" s="70">
        <f>CEILING(IF(TYPE(VLOOKUP(A49,'Espesor Equivalente'!$A$117:$S$136,19,FALSE))=16,D49,VLOOKUP(A49,'Espesor Equivalente'!$A$117:$S$136,19,FALSE)),0.01)</f>
        <v>0.12</v>
      </c>
      <c r="F49" s="20">
        <f t="shared" si="1"/>
        <v>1</v>
      </c>
      <c r="G49" s="80">
        <f t="shared" si="2"/>
        <v>0</v>
      </c>
      <c r="H49" s="20">
        <f t="shared" si="3"/>
        <v>0</v>
      </c>
      <c r="I49" s="20">
        <f>VLOOKUP(E49,Cargas!$D$8:$G$23,4,TRUE)+H49</f>
        <v>0.46899999999999997</v>
      </c>
      <c r="J49" s="75">
        <f t="shared" si="0"/>
        <v>0.1</v>
      </c>
      <c r="K49" s="71">
        <f t="shared" si="4"/>
        <v>0.7228</v>
      </c>
      <c r="L49" s="71"/>
      <c r="M49" s="14"/>
      <c r="O49" s="17"/>
      <c r="P49" s="16"/>
      <c r="Q49" s="16"/>
      <c r="R49" s="2"/>
    </row>
    <row r="50" spans="1:18" ht="13.5" x14ac:dyDescent="0.25">
      <c r="A50" s="69">
        <f>'Espesor Techo'!A50</f>
        <v>42</v>
      </c>
      <c r="B50" s="70">
        <f>'Espesor Techo'!B50</f>
        <v>1</v>
      </c>
      <c r="C50" s="70">
        <f>'Espesor Techo'!C50</f>
        <v>1</v>
      </c>
      <c r="D50" s="70">
        <f>'Espesor Techo'!J50</f>
        <v>0.12</v>
      </c>
      <c r="E50" s="70">
        <f>CEILING(IF(TYPE(VLOOKUP(A50,'Espesor Equivalente'!$A$117:$S$136,19,FALSE))=16,D50,VLOOKUP(A50,'Espesor Equivalente'!$A$117:$S$136,19,FALSE)),0.01)</f>
        <v>0.12</v>
      </c>
      <c r="F50" s="20">
        <f t="shared" si="1"/>
        <v>1</v>
      </c>
      <c r="G50" s="80">
        <f t="shared" si="2"/>
        <v>0</v>
      </c>
      <c r="H50" s="20">
        <f t="shared" si="3"/>
        <v>0</v>
      </c>
      <c r="I50" s="20">
        <f>VLOOKUP(E50,Cargas!$D$8:$G$23,4,TRUE)+H50</f>
        <v>0.46899999999999997</v>
      </c>
      <c r="J50" s="75">
        <f t="shared" si="0"/>
        <v>0.1</v>
      </c>
      <c r="K50" s="71">
        <f t="shared" si="4"/>
        <v>0.7228</v>
      </c>
      <c r="L50" s="71"/>
      <c r="M50" s="14"/>
      <c r="O50" s="17"/>
      <c r="P50" s="16"/>
      <c r="Q50" s="16"/>
      <c r="R50" s="2"/>
    </row>
    <row r="51" spans="1:18" ht="13.5" x14ac:dyDescent="0.25">
      <c r="A51" s="69">
        <f>'Espesor Techo'!A51</f>
        <v>43</v>
      </c>
      <c r="B51" s="70">
        <f>'Espesor Techo'!B51</f>
        <v>1</v>
      </c>
      <c r="C51" s="70">
        <f>'Espesor Techo'!C51</f>
        <v>1</v>
      </c>
      <c r="D51" s="70">
        <f>'Espesor Techo'!J51</f>
        <v>0.12</v>
      </c>
      <c r="E51" s="70">
        <f>CEILING(IF(TYPE(VLOOKUP(A51,'Espesor Equivalente'!$A$117:$S$136,19,FALSE))=16,D51,VLOOKUP(A51,'Espesor Equivalente'!$A$117:$S$136,19,FALSE)),0.01)</f>
        <v>0.12</v>
      </c>
      <c r="F51" s="20">
        <f t="shared" si="1"/>
        <v>1</v>
      </c>
      <c r="G51" s="80">
        <f t="shared" si="2"/>
        <v>0</v>
      </c>
      <c r="H51" s="20">
        <f t="shared" si="3"/>
        <v>0</v>
      </c>
      <c r="I51" s="20">
        <f>VLOOKUP(E51,Cargas!$D$8:$G$23,4,TRUE)+H51</f>
        <v>0.46899999999999997</v>
      </c>
      <c r="J51" s="75">
        <f t="shared" si="0"/>
        <v>0.1</v>
      </c>
      <c r="K51" s="71">
        <f t="shared" si="4"/>
        <v>0.7228</v>
      </c>
      <c r="L51" s="71"/>
      <c r="M51" s="14"/>
      <c r="O51" s="6"/>
      <c r="P51" s="16"/>
      <c r="Q51" s="16"/>
      <c r="R51" s="2"/>
    </row>
    <row r="52" spans="1:18" ht="13.5" x14ac:dyDescent="0.25">
      <c r="A52" s="69">
        <f>'Espesor Techo'!A52</f>
        <v>44</v>
      </c>
      <c r="B52" s="70">
        <f>'Espesor Techo'!B52</f>
        <v>1</v>
      </c>
      <c r="C52" s="70">
        <f>'Espesor Techo'!C52</f>
        <v>1</v>
      </c>
      <c r="D52" s="70">
        <f>'Espesor Techo'!J52</f>
        <v>0.12</v>
      </c>
      <c r="E52" s="70">
        <f>CEILING(IF(TYPE(VLOOKUP(A52,'Espesor Equivalente'!$A$117:$S$136,19,FALSE))=16,D52,VLOOKUP(A52,'Espesor Equivalente'!$A$117:$S$136,19,FALSE)),0.01)</f>
        <v>0.12</v>
      </c>
      <c r="F52" s="20">
        <f t="shared" si="1"/>
        <v>1</v>
      </c>
      <c r="G52" s="80">
        <f t="shared" si="2"/>
        <v>0</v>
      </c>
      <c r="H52" s="20">
        <f t="shared" si="3"/>
        <v>0</v>
      </c>
      <c r="I52" s="20">
        <f>VLOOKUP(E52,Cargas!$D$8:$G$23,4,TRUE)+H52</f>
        <v>0.46899999999999997</v>
      </c>
      <c r="J52" s="75">
        <f t="shared" si="0"/>
        <v>0.1</v>
      </c>
      <c r="K52" s="71">
        <f t="shared" si="4"/>
        <v>0.7228</v>
      </c>
      <c r="L52" s="71"/>
      <c r="M52" s="14"/>
      <c r="O52" s="17"/>
      <c r="P52" s="16"/>
      <c r="Q52" s="16"/>
      <c r="R52" s="2"/>
    </row>
    <row r="53" spans="1:18" ht="13.5" x14ac:dyDescent="0.25">
      <c r="A53" s="69">
        <f>'Espesor Techo'!A53</f>
        <v>45</v>
      </c>
      <c r="B53" s="70">
        <f>'Espesor Techo'!B53</f>
        <v>1</v>
      </c>
      <c r="C53" s="70">
        <f>'Espesor Techo'!C53</f>
        <v>1</v>
      </c>
      <c r="D53" s="70">
        <f>'Espesor Techo'!J53</f>
        <v>0.12</v>
      </c>
      <c r="E53" s="70">
        <f>CEILING(IF(TYPE(VLOOKUP(A53,'Espesor Equivalente'!$A$117:$S$136,19,FALSE))=16,D53,VLOOKUP(A53,'Espesor Equivalente'!$A$117:$S$136,19,FALSE)),0.01)</f>
        <v>0.12</v>
      </c>
      <c r="F53" s="20">
        <f t="shared" si="1"/>
        <v>1</v>
      </c>
      <c r="G53" s="80">
        <f t="shared" si="2"/>
        <v>0</v>
      </c>
      <c r="H53" s="20">
        <f t="shared" si="3"/>
        <v>0</v>
      </c>
      <c r="I53" s="20">
        <f>VLOOKUP(E53,Cargas!$D$8:$G$23,4,TRUE)+H53</f>
        <v>0.46899999999999997</v>
      </c>
      <c r="J53" s="75">
        <f t="shared" si="0"/>
        <v>0.1</v>
      </c>
      <c r="K53" s="71">
        <f t="shared" si="4"/>
        <v>0.7228</v>
      </c>
      <c r="L53" s="71"/>
      <c r="M53" s="14"/>
      <c r="O53" s="17"/>
      <c r="P53" s="16"/>
      <c r="Q53" s="16"/>
      <c r="R53" s="2"/>
    </row>
    <row r="54" spans="1:18" ht="13.5" x14ac:dyDescent="0.25">
      <c r="A54" s="69">
        <f>'Espesor Techo'!A54</f>
        <v>46</v>
      </c>
      <c r="B54" s="70">
        <f>'Espesor Techo'!B54</f>
        <v>1</v>
      </c>
      <c r="C54" s="70">
        <f>'Espesor Techo'!C54</f>
        <v>1</v>
      </c>
      <c r="D54" s="70">
        <f>'Espesor Techo'!J54</f>
        <v>0.12</v>
      </c>
      <c r="E54" s="70">
        <f>CEILING(IF(TYPE(VLOOKUP(A54,'Espesor Equivalente'!$A$117:$S$136,19,FALSE))=16,D54,VLOOKUP(A54,'Espesor Equivalente'!$A$117:$S$136,19,FALSE)),0.01)</f>
        <v>0.12</v>
      </c>
      <c r="F54" s="20">
        <f t="shared" si="1"/>
        <v>1</v>
      </c>
      <c r="G54" s="80">
        <f t="shared" si="2"/>
        <v>0</v>
      </c>
      <c r="H54" s="20">
        <f t="shared" si="3"/>
        <v>0</v>
      </c>
      <c r="I54" s="20">
        <f>VLOOKUP(E54,Cargas!$D$8:$G$23,4,TRUE)+H54</f>
        <v>0.46899999999999997</v>
      </c>
      <c r="J54" s="75">
        <f t="shared" si="0"/>
        <v>0.1</v>
      </c>
      <c r="K54" s="71">
        <f t="shared" si="4"/>
        <v>0.7228</v>
      </c>
      <c r="L54" s="71"/>
      <c r="M54" s="14"/>
      <c r="O54" s="17"/>
      <c r="P54" s="16"/>
      <c r="Q54" s="16"/>
      <c r="R54" s="2"/>
    </row>
    <row r="55" spans="1:18" ht="13.5" x14ac:dyDescent="0.25">
      <c r="A55" s="69">
        <f>'Espesor Techo'!A55</f>
        <v>47</v>
      </c>
      <c r="B55" s="70">
        <f>'Espesor Techo'!B55</f>
        <v>1</v>
      </c>
      <c r="C55" s="70">
        <f>'Espesor Techo'!C55</f>
        <v>1</v>
      </c>
      <c r="D55" s="70">
        <f>'Espesor Techo'!J55</f>
        <v>0.12</v>
      </c>
      <c r="E55" s="70">
        <f>CEILING(IF(TYPE(VLOOKUP(A55,'Espesor Equivalente'!$A$117:$S$136,19,FALSE))=16,D55,VLOOKUP(A55,'Espesor Equivalente'!$A$117:$S$136,19,FALSE)),0.01)</f>
        <v>0.12</v>
      </c>
      <c r="F55" s="20">
        <f>B55*C55</f>
        <v>1</v>
      </c>
      <c r="G55" s="80">
        <f t="shared" si="2"/>
        <v>0</v>
      </c>
      <c r="H55" s="20">
        <f>IF(G55=0,0,MAX(0.1,G55/F55))</f>
        <v>0</v>
      </c>
      <c r="I55" s="20">
        <f>VLOOKUP(E55,Cargas!$D$8:$G$23,4,TRUE)+H55</f>
        <v>0.46899999999999997</v>
      </c>
      <c r="J55" s="75">
        <f t="shared" si="0"/>
        <v>0.1</v>
      </c>
      <c r="K55" s="71">
        <f t="shared" si="4"/>
        <v>0.7228</v>
      </c>
      <c r="L55" s="71"/>
      <c r="M55" s="14"/>
      <c r="O55" s="17"/>
      <c r="P55" s="16"/>
      <c r="Q55" s="16"/>
      <c r="R55" s="2"/>
    </row>
    <row r="56" spans="1:18" ht="13.5" x14ac:dyDescent="0.25">
      <c r="A56" s="69">
        <f>'Espesor Techo'!A56</f>
        <v>48</v>
      </c>
      <c r="B56" s="70">
        <f>'Espesor Techo'!B56</f>
        <v>1</v>
      </c>
      <c r="C56" s="70">
        <f>'Espesor Techo'!C56</f>
        <v>1</v>
      </c>
      <c r="D56" s="70">
        <f>'Espesor Techo'!J56</f>
        <v>0.12</v>
      </c>
      <c r="E56" s="70">
        <f>CEILING(IF(TYPE(VLOOKUP(A56,'Espesor Equivalente'!$A$117:$S$136,19,FALSE))=16,D56,VLOOKUP(A56,'Espesor Equivalente'!$A$117:$S$136,19,FALSE)),0.01)</f>
        <v>0.12</v>
      </c>
      <c r="F56" s="20">
        <f>B56*C56</f>
        <v>1</v>
      </c>
      <c r="G56" s="80">
        <f t="shared" si="2"/>
        <v>0</v>
      </c>
      <c r="H56" s="20">
        <f>IF(G56=0,0,MAX(0.1,G56/F56))</f>
        <v>0</v>
      </c>
      <c r="I56" s="20">
        <f>VLOOKUP(E56,Cargas!$D$8:$G$23,4,TRUE)+H56</f>
        <v>0.46899999999999997</v>
      </c>
      <c r="J56" s="75">
        <f t="shared" si="0"/>
        <v>0.1</v>
      </c>
      <c r="K56" s="71">
        <f t="shared" si="4"/>
        <v>0.7228</v>
      </c>
      <c r="L56" s="71"/>
      <c r="M56" s="14"/>
      <c r="O56" s="17"/>
      <c r="P56" s="16"/>
      <c r="Q56" s="16"/>
      <c r="R56" s="2"/>
    </row>
    <row r="57" spans="1:18" ht="13.5" x14ac:dyDescent="0.25">
      <c r="A57" s="69">
        <f>'Espesor Techo'!A57</f>
        <v>49</v>
      </c>
      <c r="B57" s="70">
        <f>'Espesor Techo'!B57</f>
        <v>1</v>
      </c>
      <c r="C57" s="70">
        <f>'Espesor Techo'!C57</f>
        <v>1</v>
      </c>
      <c r="D57" s="70">
        <f>'Espesor Techo'!J57</f>
        <v>0.12</v>
      </c>
      <c r="E57" s="70">
        <f>CEILING(IF(TYPE(VLOOKUP(A57,'Espesor Equivalente'!$A$117:$S$136,19,FALSE))=16,D57,VLOOKUP(A57,'Espesor Equivalente'!$A$117:$S$136,19,FALSE)),0.01)</f>
        <v>0.12</v>
      </c>
      <c r="F57" s="20">
        <f>B57*C57</f>
        <v>1</v>
      </c>
      <c r="G57" s="80">
        <f t="shared" si="2"/>
        <v>0</v>
      </c>
      <c r="H57" s="20">
        <f>IF(G57=0,0,MAX(0.1,G57/F57))</f>
        <v>0</v>
      </c>
      <c r="I57" s="20">
        <f>VLOOKUP(E57,Cargas!$D$8:$G$23,4,TRUE)+H57</f>
        <v>0.46899999999999997</v>
      </c>
      <c r="J57" s="75">
        <f t="shared" si="0"/>
        <v>0.1</v>
      </c>
      <c r="K57" s="71">
        <f t="shared" si="4"/>
        <v>0.7228</v>
      </c>
      <c r="L57" s="71"/>
      <c r="M57" s="14"/>
      <c r="O57" s="17"/>
      <c r="P57" s="16"/>
      <c r="Q57" s="16"/>
      <c r="R57" s="2"/>
    </row>
    <row r="58" spans="1:18" ht="13.5" x14ac:dyDescent="0.25">
      <c r="A58" s="69">
        <f>'Espesor Techo'!A58</f>
        <v>50</v>
      </c>
      <c r="B58" s="70">
        <f>'Espesor Techo'!B58</f>
        <v>1</v>
      </c>
      <c r="C58" s="70">
        <f>'Espesor Techo'!C58</f>
        <v>1</v>
      </c>
      <c r="D58" s="70">
        <f>'Espesor Techo'!J58</f>
        <v>0.12</v>
      </c>
      <c r="E58" s="70">
        <f>CEILING(IF(TYPE(VLOOKUP(A58,'Espesor Equivalente'!$A$117:$S$136,19,FALSE))=16,D58,VLOOKUP(A58,'Espesor Equivalente'!$A$117:$S$136,19,FALSE)),0.01)</f>
        <v>0.12</v>
      </c>
      <c r="F58" s="20">
        <f>B58*C58</f>
        <v>1</v>
      </c>
      <c r="G58" s="80">
        <f t="shared" si="2"/>
        <v>0</v>
      </c>
      <c r="H58" s="20">
        <f>IF(G58=0,0,MAX(0.1,G58/F58))</f>
        <v>0</v>
      </c>
      <c r="I58" s="20">
        <f>VLOOKUP(E58,Cargas!$D$8:$G$23,4,TRUE)+H58</f>
        <v>0.46899999999999997</v>
      </c>
      <c r="J58" s="75">
        <f t="shared" si="0"/>
        <v>0.1</v>
      </c>
      <c r="K58" s="71">
        <f t="shared" si="4"/>
        <v>0.7228</v>
      </c>
      <c r="L58" s="71"/>
      <c r="M58" s="14"/>
      <c r="O58" s="17"/>
      <c r="P58" s="16"/>
      <c r="Q58" s="16"/>
      <c r="R58" s="2"/>
    </row>
    <row r="59" spans="1:18" ht="13.5" x14ac:dyDescent="0.25">
      <c r="I59" s="74">
        <f>AVERAGE(I9:I58)</f>
        <v>0.46900000000000019</v>
      </c>
      <c r="J59" s="74">
        <f>AVERAGE(J9:J58)</f>
        <v>9.9999999999999964E-2</v>
      </c>
    </row>
  </sheetData>
  <mergeCells count="10">
    <mergeCell ref="B3:E3"/>
    <mergeCell ref="R11:S11"/>
    <mergeCell ref="F2:G2"/>
    <mergeCell ref="H2:J2"/>
    <mergeCell ref="F3:G3"/>
    <mergeCell ref="H3:J3"/>
    <mergeCell ref="K3:K4"/>
    <mergeCell ref="B2:E2"/>
    <mergeCell ref="G4:J4"/>
    <mergeCell ref="M6:P7"/>
  </mergeCells>
  <pageMargins left="0.7" right="0.7" top="0.75" bottom="0.75" header="0.3" footer="0.3"/>
  <pageSetup scale="90" orientation="portrait" horizontalDpi="4294967295" verticalDpi="0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27</vt:i4>
      </vt:variant>
    </vt:vector>
  </HeadingPairs>
  <TitlesOfParts>
    <vt:vector size="42" baseType="lpstr">
      <vt:lpstr>Cargas</vt:lpstr>
      <vt:lpstr>Calculos Espesores</vt:lpstr>
      <vt:lpstr>Espesor Earlette</vt:lpstr>
      <vt:lpstr>Espesor E2</vt:lpstr>
      <vt:lpstr>Espesor E3</vt:lpstr>
      <vt:lpstr>Espesor E4</vt:lpstr>
      <vt:lpstr>Espesor E5</vt:lpstr>
      <vt:lpstr>Espesor Techo</vt:lpstr>
      <vt:lpstr>Espesor Equivalente</vt:lpstr>
      <vt:lpstr>Carga EARLLETTE</vt:lpstr>
      <vt:lpstr>Carga E2</vt:lpstr>
      <vt:lpstr>Carga E3</vt:lpstr>
      <vt:lpstr>Carga E4</vt:lpstr>
      <vt:lpstr>Carga E5</vt:lpstr>
      <vt:lpstr>Carga Techo </vt:lpstr>
      <vt:lpstr>_qde12</vt:lpstr>
      <vt:lpstr>_qde13</vt:lpstr>
      <vt:lpstr>_qde14</vt:lpstr>
      <vt:lpstr>_qde15</vt:lpstr>
      <vt:lpstr>_qde16</vt:lpstr>
      <vt:lpstr>_qde17</vt:lpstr>
      <vt:lpstr>_qde18</vt:lpstr>
      <vt:lpstr>_qde19</vt:lpstr>
      <vt:lpstr>_qde20</vt:lpstr>
      <vt:lpstr>_qdt10</vt:lpstr>
      <vt:lpstr>_qdt11</vt:lpstr>
      <vt:lpstr>_qdt12</vt:lpstr>
      <vt:lpstr>_qdt13</vt:lpstr>
      <vt:lpstr>_qdt14</vt:lpstr>
      <vt:lpstr>_qdt15</vt:lpstr>
      <vt:lpstr>_qdt16</vt:lpstr>
      <vt:lpstr>_qdt17</vt:lpstr>
      <vt:lpstr>_qdt18</vt:lpstr>
      <vt:lpstr>_qdt19</vt:lpstr>
      <vt:lpstr>_qdt20</vt:lpstr>
      <vt:lpstr>_qdt6</vt:lpstr>
      <vt:lpstr>_qdt7</vt:lpstr>
      <vt:lpstr>_qdt8</vt:lpstr>
      <vt:lpstr>_qdt9</vt:lpstr>
      <vt:lpstr>qlb</vt:lpstr>
      <vt:lpstr>qle</vt:lpstr>
      <vt:lpstr>qlt</vt:lpstr>
    </vt:vector>
  </TitlesOfParts>
  <Company>oeme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Olicer Guillén</dc:creator>
  <cp:lastModifiedBy>[Est - CIV] Guillen De La Cruz, Emil</cp:lastModifiedBy>
  <cp:lastPrinted>2012-08-28T13:33:07Z</cp:lastPrinted>
  <dcterms:created xsi:type="dcterms:W3CDTF">2007-08-09T19:16:17Z</dcterms:created>
  <dcterms:modified xsi:type="dcterms:W3CDTF">2026-05-08T13:37:58Z</dcterms:modified>
</cp:coreProperties>
</file>